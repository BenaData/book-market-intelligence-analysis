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Data Science\book_market_intelligence\"/>
    </mc:Choice>
  </mc:AlternateContent>
  <xr:revisionPtr revIDLastSave="0" documentId="13_ncr:1_{CA4C9441-5185-44F0-9334-E6BF671C9267}" xr6:coauthVersionLast="47" xr6:coauthVersionMax="47" xr10:uidLastSave="{00000000-0000-0000-0000-000000000000}"/>
  <bookViews>
    <workbookView xWindow="-110" yWindow="-110" windowWidth="19420" windowHeight="10420" activeTab="3" xr2:uid="{46642C3F-D657-4DBD-BA7F-0138FBA2CA5E}"/>
  </bookViews>
  <sheets>
    <sheet name="Raw Data" sheetId="5" r:id="rId1"/>
    <sheet name="Workbook" sheetId="1" r:id="rId2"/>
    <sheet name="Executive Report- Key Findings" sheetId="3" r:id="rId3"/>
    <sheet name="Dashboard" sheetId="6" r:id="rId4"/>
  </sheets>
  <definedNames>
    <definedName name="ExternalData_1" localSheetId="0" hidden="1">'Raw Data'!$A$1:$I$1001</definedName>
    <definedName name="Slicer_Demand_Analysis">#N/A</definedName>
    <definedName name="Slicer_Genre_Filter">#N/A</definedName>
  </definedNames>
  <calcPr calcId="191029"/>
  <pivotCaches>
    <pivotCache cacheId="1" r:id="rId5"/>
    <pivotCache cacheId="549" r:id="rId6"/>
    <pivotCache cacheId="552" r:id="rId7"/>
    <pivotCache cacheId="579" r:id="rId8"/>
    <pivotCache cacheId="622" r:id="rId9"/>
    <pivotCache cacheId="625" r:id="rId10"/>
    <pivotCache cacheId="628" r:id="rId11"/>
  </pivotCaches>
  <extLst>
    <ext xmlns:x14="http://schemas.microsoft.com/office/spreadsheetml/2009/9/main" uri="{876F7934-8845-4945-9796-88D515C7AA90}">
      <x14:pivotCaches>
        <pivotCache cacheId="6" r:id="rId12"/>
        <pivotCache cacheId="7" r:id="rId13"/>
      </x14:pivotCaches>
    </ex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w Data_c4774b8c-a4c6-4821-a5d3-6d72f025f13b" name="Raw Data" connection="Query - Raw 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O10" i="1" l="1"/>
  <c r="AJ15" i="1"/>
  <c r="AK15" i="1"/>
  <c r="AL15" i="1"/>
  <c r="AM15" i="1"/>
  <c r="AJ16" i="1"/>
  <c r="AK16" i="1"/>
  <c r="AL16" i="1"/>
  <c r="AM16" i="1"/>
  <c r="AJ17" i="1"/>
  <c r="AK17" i="1"/>
  <c r="AL17" i="1"/>
  <c r="AM17" i="1"/>
  <c r="AJ18" i="1"/>
  <c r="AK18" i="1"/>
  <c r="AL18" i="1"/>
  <c r="AM18" i="1"/>
  <c r="AJ19" i="1"/>
  <c r="AK19" i="1"/>
  <c r="AL19" i="1"/>
  <c r="AM19" i="1"/>
  <c r="AL14" i="1"/>
  <c r="AM14" i="1"/>
  <c r="AK14" i="1"/>
  <c r="AJ14" i="1"/>
  <c r="AM5" i="1"/>
  <c r="AM6" i="1"/>
  <c r="AM7" i="1"/>
  <c r="AM4" i="1"/>
  <c r="AL5" i="1"/>
  <c r="AL6" i="1"/>
  <c r="AL7" i="1"/>
  <c r="AL4" i="1"/>
  <c r="AL3" i="1"/>
  <c r="AK5" i="1"/>
  <c r="AK6" i="1"/>
  <c r="AK7" i="1"/>
  <c r="AK4" i="1"/>
  <c r="AK3" i="1"/>
  <c r="V5" i="1"/>
  <c r="V6" i="1"/>
  <c r="V7" i="1"/>
  <c r="V8" i="1"/>
  <c r="V9" i="1"/>
  <c r="V10" i="1"/>
  <c r="V11" i="1"/>
  <c r="V12" i="1"/>
  <c r="V13" i="1"/>
  <c r="V14" i="1"/>
  <c r="V15" i="1"/>
  <c r="V16" i="1"/>
  <c r="V17" i="1"/>
  <c r="V18" i="1"/>
  <c r="V19" i="1"/>
  <c r="V4" i="1"/>
  <c r="U5" i="1"/>
  <c r="U6" i="1"/>
  <c r="U7" i="1"/>
  <c r="U8" i="1"/>
  <c r="U9" i="1"/>
  <c r="U10" i="1"/>
  <c r="U11" i="1"/>
  <c r="U12" i="1"/>
  <c r="U13" i="1"/>
  <c r="U14" i="1"/>
  <c r="U15" i="1"/>
  <c r="U16" i="1"/>
  <c r="U17" i="1"/>
  <c r="U18" i="1"/>
  <c r="U19" i="1"/>
  <c r="U4" i="1"/>
  <c r="B5" i="1"/>
  <c r="B12" i="1"/>
  <c r="B17" i="1" s="1"/>
  <c r="B6" i="1"/>
  <c r="B7" i="1"/>
  <c r="B8" i="1"/>
  <c r="B9" i="1"/>
  <c r="B10" i="1"/>
  <c r="B11" i="1"/>
  <c r="A11" i="1"/>
  <c r="A5" i="1"/>
  <c r="A6" i="1"/>
  <c r="A7" i="1"/>
  <c r="A8" i="1"/>
  <c r="A9" i="1"/>
  <c r="A10" i="1"/>
  <c r="AQ10" i="1"/>
  <c r="AP10" i="1"/>
  <c r="AA5" i="1"/>
  <c r="AA6" i="1"/>
  <c r="AA7" i="1"/>
  <c r="AA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4" i="1"/>
  <c r="I6" i="1"/>
  <c r="I7" i="1"/>
  <c r="I8" i="1"/>
  <c r="I9" i="1"/>
  <c r="I10" i="1"/>
  <c r="I11" i="1"/>
  <c r="I12" i="1"/>
  <c r="I13" i="1"/>
  <c r="I5" i="1"/>
  <c r="J18" i="1"/>
  <c r="J17" i="1"/>
  <c r="J6" i="1"/>
  <c r="J7" i="1"/>
  <c r="J8" i="1"/>
  <c r="J9" i="1"/>
  <c r="J10" i="1"/>
  <c r="J11" i="1"/>
  <c r="J12" i="1"/>
  <c r="J13" i="1"/>
  <c r="J5" i="1"/>
  <c r="W28" i="1" l="1"/>
  <c r="W24" i="1"/>
  <c r="W23" i="1"/>
  <c r="W29" i="1"/>
  <c r="V30" i="1" s="1"/>
  <c r="B16" i="1"/>
  <c r="C16" i="1" s="1"/>
  <c r="A20" i="1" s="1"/>
  <c r="J16" i="1"/>
  <c r="K16" i="1" s="1"/>
  <c r="V25" i="1" l="1"/>
  <c r="C17" i="1"/>
  <c r="K17" i="1"/>
  <c r="K1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F913F7-6E0D-4727-B688-F12291E3F7E0}" name="Query - Raw Data" description="Connection to the 'Raw Data' query in the workbook." type="100" refreshedVersion="7" minRefreshableVersion="5">
    <extLst>
      <ext xmlns:x15="http://schemas.microsoft.com/office/spreadsheetml/2010/11/main" uri="{DE250136-89BD-433C-8126-D09CA5730AF9}">
        <x15:connection id="ae16f315-cd8a-4b81-af5c-80475b736646"/>
      </ext>
    </extLst>
  </connection>
  <connection id="2" xr16:uid="{FC990389-1F05-4350-8454-2D43A32629B8}" keepAlive="1" name="Query - Raw Data (5)" description="Connection to the 'Raw Data (5)' query in the workbook." type="5" refreshedVersion="7" background="1" saveData="1">
    <dbPr connection="Provider=Microsoft.Mashup.OleDb.1;Data Source=$Workbook$;Location=&quot;Raw Data (5)&quot;;Extended Properties=&quot;&quot;" command="SELECT * FROM [Raw Data (5)]"/>
  </connection>
  <connection id="3" xr16:uid="{2B75B7AC-5D05-493D-8AFE-570969686B3A}"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MDX" minSupportedVersion="120000" copy="1" pasteAll="1" pasteValues="1" merge="1" splitFirst="1" rowColShift="1" clearFormats="1" clearComments="1" assign="1" coerce="1"/>
  </metadataTypes>
  <metadataStrings count="2">
    <s v="ThisWorkbookDataModel"/>
    <s v="{[Raw Data].[Demand Analysis].&amp;[Demand Gap]}"/>
  </metadataStrings>
  <mdxMetadata count="1">
    <mdx n="0" f="s">
      <ms ns="1" c="0"/>
    </mdx>
  </mdxMetadata>
  <valueMetadata count="1">
    <bk>
      <rc t="1" v="0"/>
    </bk>
  </valueMetadata>
</metadata>
</file>

<file path=xl/sharedStrings.xml><?xml version="1.0" encoding="utf-8"?>
<sst xmlns="http://schemas.openxmlformats.org/spreadsheetml/2006/main" count="4177" uniqueCount="753">
  <si>
    <t>Genre</t>
  </si>
  <si>
    <t>Travel</t>
  </si>
  <si>
    <t>Womens Fiction</t>
  </si>
  <si>
    <t>Mystery</t>
  </si>
  <si>
    <t>Classics</t>
  </si>
  <si>
    <t>Thriller</t>
  </si>
  <si>
    <t>Short Stories</t>
  </si>
  <si>
    <t>Biography</t>
  </si>
  <si>
    <t>Romance</t>
  </si>
  <si>
    <t>Poetry</t>
  </si>
  <si>
    <t>Business</t>
  </si>
  <si>
    <t>Sequential Art</t>
  </si>
  <si>
    <t>Self Help</t>
  </si>
  <si>
    <t>Philosophy</t>
  </si>
  <si>
    <t>Psychology</t>
  </si>
  <si>
    <t>Young Adult</t>
  </si>
  <si>
    <t>Health</t>
  </si>
  <si>
    <t>Crime</t>
  </si>
  <si>
    <t>Sports</t>
  </si>
  <si>
    <t>Suspense</t>
  </si>
  <si>
    <t>Art</t>
  </si>
  <si>
    <t>Horror</t>
  </si>
  <si>
    <t>Humor</t>
  </si>
  <si>
    <t>Historical Fiction</t>
  </si>
  <si>
    <t>Parody</t>
  </si>
  <si>
    <t>Music</t>
  </si>
  <si>
    <t>Default</t>
  </si>
  <si>
    <t>Science Fiction</t>
  </si>
  <si>
    <t>Fantasy</t>
  </si>
  <si>
    <t>Academic</t>
  </si>
  <si>
    <t>Food and Drink</t>
  </si>
  <si>
    <t>Number of Books</t>
  </si>
  <si>
    <t>Percentage</t>
  </si>
  <si>
    <t>Catalogue Distribution</t>
  </si>
  <si>
    <t>High</t>
  </si>
  <si>
    <t>Mid</t>
  </si>
  <si>
    <t>Low</t>
  </si>
  <si>
    <t>Analyst: Benard Musyoka Mwinzi  |  Digital Business Unit  |  Date: June 2026  |  Classification: Internal</t>
  </si>
  <si>
    <t>KEY FINDINGS AND RECOMMENDATIONS</t>
  </si>
  <si>
    <t>BUSINESS PROBLEM</t>
  </si>
  <si>
    <t>Demand Gap</t>
  </si>
  <si>
    <t>Low Priority</t>
  </si>
  <si>
    <t>Review Pricing</t>
  </si>
  <si>
    <t>Well Supplied</t>
  </si>
  <si>
    <t>Demand Analysis</t>
  </si>
  <si>
    <t>Title</t>
  </si>
  <si>
    <t>Price (£)</t>
  </si>
  <si>
    <t>Rating</t>
  </si>
  <si>
    <t>Availability</t>
  </si>
  <si>
    <t>Stock Count</t>
  </si>
  <si>
    <t>All the Light We Cannot See</t>
  </si>
  <si>
    <t>In stock</t>
  </si>
  <si>
    <t>Dark Waters</t>
  </si>
  <si>
    <t>Outliers</t>
  </si>
  <si>
    <t>Brave New World</t>
  </si>
  <si>
    <t>The Hard Thing About Hard Things</t>
  </si>
  <si>
    <t>The Lean Startup</t>
  </si>
  <si>
    <t>The Silent Hours</t>
  </si>
  <si>
    <t>The Hollow City</t>
  </si>
  <si>
    <t>The Road</t>
  </si>
  <si>
    <t>Principles</t>
  </si>
  <si>
    <t>Out of stock</t>
  </si>
  <si>
    <t>The Burning Room</t>
  </si>
  <si>
    <t>Dune</t>
  </si>
  <si>
    <t>Deep Work</t>
  </si>
  <si>
    <t>Shoe Dog</t>
  </si>
  <si>
    <t>Edge of Tomorrow</t>
  </si>
  <si>
    <t>Garden of Lies</t>
  </si>
  <si>
    <t>Limited availability</t>
  </si>
  <si>
    <t>Predictably Irrational</t>
  </si>
  <si>
    <t>Bad Blood</t>
  </si>
  <si>
    <t>Elon Musk</t>
  </si>
  <si>
    <t>The Art of War</t>
  </si>
  <si>
    <t>Atomic Habits</t>
  </si>
  <si>
    <t>Foundation</t>
  </si>
  <si>
    <t>Educated</t>
  </si>
  <si>
    <t>The Tipping Point</t>
  </si>
  <si>
    <t>Freakonomics</t>
  </si>
  <si>
    <t>No Country for Old Men</t>
  </si>
  <si>
    <t>Neuromancer</t>
  </si>
  <si>
    <t>A Light in August</t>
  </si>
  <si>
    <t>Racing in the Rain</t>
  </si>
  <si>
    <t>Zero to One</t>
  </si>
  <si>
    <t>Steve Jobs</t>
  </si>
  <si>
    <t>The Gene</t>
  </si>
  <si>
    <t>Sapiens</t>
  </si>
  <si>
    <t>The Nightingale Vol.2</t>
  </si>
  <si>
    <t>Deep Work Vol.2</t>
  </si>
  <si>
    <t>Dune Vol.2</t>
  </si>
  <si>
    <t>Steve Jobs Vol.2</t>
  </si>
  <si>
    <t>Atomic Habits Vol.2</t>
  </si>
  <si>
    <t>Zero to One Vol.2</t>
  </si>
  <si>
    <t>Sapiens Vol.2</t>
  </si>
  <si>
    <t>1984 Vol.2</t>
  </si>
  <si>
    <t>Bad Blood Vol.2</t>
  </si>
  <si>
    <t>Becoming Vol.2</t>
  </si>
  <si>
    <t>Predictably Irrational Vol.2</t>
  </si>
  <si>
    <t>The Innovators Vol.2</t>
  </si>
  <si>
    <t>The Kite Runner Vol.2</t>
  </si>
  <si>
    <t>Principles Vol.2</t>
  </si>
  <si>
    <t>Midnight in Paris Vol.2</t>
  </si>
  <si>
    <t>Edge of Tomorrow Vol.2</t>
  </si>
  <si>
    <t>Elon Musk Vol.2</t>
  </si>
  <si>
    <t>Thinking Fast and Slow Vol.2</t>
  </si>
  <si>
    <t>The Tipping Point Vol.2</t>
  </si>
  <si>
    <t>Racing in the Rain Vol.2</t>
  </si>
  <si>
    <t>Freakonomics Vol.2</t>
  </si>
  <si>
    <t>The Gene Vol.2</t>
  </si>
  <si>
    <t>All the Light We Cannot See Vol.2</t>
  </si>
  <si>
    <t>Open Wounds Vol.2</t>
  </si>
  <si>
    <t>The Sixth Extinction Vol.2</t>
  </si>
  <si>
    <t>Letters to the Lost Vol.2</t>
  </si>
  <si>
    <t>A Man Called Ove Vol.2</t>
  </si>
  <si>
    <t>The Silent Hours Vol.2</t>
  </si>
  <si>
    <t>The Burning Room Vol.2</t>
  </si>
  <si>
    <t>No Country for Old Men Vol.2</t>
  </si>
  <si>
    <t>Blink Vol.2</t>
  </si>
  <si>
    <t>Garden of Lies Vol.2</t>
  </si>
  <si>
    <t>Nudge Vol.2</t>
  </si>
  <si>
    <t>Dark Waters Vol.2</t>
  </si>
  <si>
    <t>Dune Vol.3</t>
  </si>
  <si>
    <t>Shoe Dog Vol.3</t>
  </si>
  <si>
    <t>Steve Jobs Vol.3</t>
  </si>
  <si>
    <t>Blink Vol.3</t>
  </si>
  <si>
    <t>Racing in the Rain Vol.3</t>
  </si>
  <si>
    <t>The Burning Room Vol.3</t>
  </si>
  <si>
    <t>Principles Vol.3</t>
  </si>
  <si>
    <t>Becoming Vol.3</t>
  </si>
  <si>
    <t>Creativity Inc Vol.3</t>
  </si>
  <si>
    <t>A Man Called Ove Vol.3</t>
  </si>
  <si>
    <t>Dark Waters Vol.3</t>
  </si>
  <si>
    <t>The Kite Runner Vol.3</t>
  </si>
  <si>
    <t>Bad Blood Vol.3</t>
  </si>
  <si>
    <t>The Nightingale Vol.3</t>
  </si>
  <si>
    <t>No Country for Old Men Vol.3</t>
  </si>
  <si>
    <t>Neuromancer Vol.3</t>
  </si>
  <si>
    <t>Zero to One Vol.3</t>
  </si>
  <si>
    <t>Garden of Lies Vol.3</t>
  </si>
  <si>
    <t>The Gene Vol.3</t>
  </si>
  <si>
    <t>Predictably Irrational Vol.3</t>
  </si>
  <si>
    <t>The Art of War Vol.3</t>
  </si>
  <si>
    <t>Nudge Vol.3</t>
  </si>
  <si>
    <t>The Lean Startup Vol.3</t>
  </si>
  <si>
    <t>The Goldfinch Vol.3</t>
  </si>
  <si>
    <t>The Road Vol.3</t>
  </si>
  <si>
    <t>Midnight in Paris Vol.3</t>
  </si>
  <si>
    <t>Deep Work Vol.3</t>
  </si>
  <si>
    <t>Atomic Habits Vol.3</t>
  </si>
  <si>
    <t>The Innovators Vol.3</t>
  </si>
  <si>
    <t>Empire of Sand Vol.3</t>
  </si>
  <si>
    <t>Foundation Vol.3</t>
  </si>
  <si>
    <t>The Sixth Extinction Vol.3</t>
  </si>
  <si>
    <t>Educated Vol.3</t>
  </si>
  <si>
    <t>Freakonomics Vol.3</t>
  </si>
  <si>
    <t>Sapiens Vol.3</t>
  </si>
  <si>
    <t>Thinking Fast and Slow Vol.3</t>
  </si>
  <si>
    <t>Open Wounds Vol.3</t>
  </si>
  <si>
    <t>Blink Vol.4</t>
  </si>
  <si>
    <t>1984 Vol.4</t>
  </si>
  <si>
    <t>Open Wounds Vol.4</t>
  </si>
  <si>
    <t>Brave New World Vol.4</t>
  </si>
  <si>
    <t>Becoming Vol.4</t>
  </si>
  <si>
    <t>Elon Musk Vol.4</t>
  </si>
  <si>
    <t>Outliers Vol.4</t>
  </si>
  <si>
    <t>Racing in the Rain Vol.4</t>
  </si>
  <si>
    <t>Thinking Fast and Slow Vol.4</t>
  </si>
  <si>
    <t>A Man Called Ove Vol.4</t>
  </si>
  <si>
    <t>Dark Waters Vol.4</t>
  </si>
  <si>
    <t>The Last Lecture Vol.4</t>
  </si>
  <si>
    <t>The Sixth Extinction Vol.4</t>
  </si>
  <si>
    <t>Neuromancer Vol.4</t>
  </si>
  <si>
    <t>The Innovators Vol.4</t>
  </si>
  <si>
    <t>Zero to One Vol.4</t>
  </si>
  <si>
    <t>Edge of Tomorrow Vol.4</t>
  </si>
  <si>
    <t>The Art of War Vol.4</t>
  </si>
  <si>
    <t>Steve Jobs Vol.4</t>
  </si>
  <si>
    <t>A Light in August Vol.4</t>
  </si>
  <si>
    <t>Foundation Vol.4</t>
  </si>
  <si>
    <t>The Kite Runner Vol.4</t>
  </si>
  <si>
    <t>Creativity Inc Vol.4</t>
  </si>
  <si>
    <t>The Gene Vol.4</t>
  </si>
  <si>
    <t>Letters to the Lost Vol.4</t>
  </si>
  <si>
    <t>Bad Blood Vol.4</t>
  </si>
  <si>
    <t>The Goldfinch Vol.4</t>
  </si>
  <si>
    <t>The Silent Hours Vol.4</t>
  </si>
  <si>
    <t>The Nightingale Vol.4</t>
  </si>
  <si>
    <t>All the Light We Cannot See Vol.4</t>
  </si>
  <si>
    <t>Predictably Irrational Vol.4</t>
  </si>
  <si>
    <t>No Country for Old Men Vol.4</t>
  </si>
  <si>
    <t>The Tipping Point Vol.4</t>
  </si>
  <si>
    <t>The Hard Thing About Hard Things Vol.5</t>
  </si>
  <si>
    <t>The Road Vol.5</t>
  </si>
  <si>
    <t>The Tipping Point Vol.5</t>
  </si>
  <si>
    <t>Neuromancer Vol.5</t>
  </si>
  <si>
    <t>Open Wounds Vol.5</t>
  </si>
  <si>
    <t>Nudge Vol.5</t>
  </si>
  <si>
    <t>The Goldfinch Vol.5</t>
  </si>
  <si>
    <t>The Kite Runner Vol.5</t>
  </si>
  <si>
    <t>Midnight in Paris Vol.5</t>
  </si>
  <si>
    <t>Outliers Vol.5</t>
  </si>
  <si>
    <t>No Country for Old Men Vol.5</t>
  </si>
  <si>
    <t>Becoming Vol.5</t>
  </si>
  <si>
    <t>The Silent Hours Vol.5</t>
  </si>
  <si>
    <t>The Burning Room Vol.5</t>
  </si>
  <si>
    <t>Elon Musk Vol.5</t>
  </si>
  <si>
    <t>Blink Vol.5</t>
  </si>
  <si>
    <t>A Man Called Ove Vol.5</t>
  </si>
  <si>
    <t>Garden of Lies Vol.5</t>
  </si>
  <si>
    <t>1984 Vol.5</t>
  </si>
  <si>
    <t>Empire of Sand Vol.5</t>
  </si>
  <si>
    <t>Brave New World Vol.5</t>
  </si>
  <si>
    <t>All the Light We Cannot See Vol.5</t>
  </si>
  <si>
    <t>Steve Jobs Vol.5</t>
  </si>
  <si>
    <t>Thinking Fast and Slow Vol.5</t>
  </si>
  <si>
    <t>The Art of War Vol.5</t>
  </si>
  <si>
    <t>The Sixth Extinction Vol.5</t>
  </si>
  <si>
    <t>Atomic Habits Vol.5</t>
  </si>
  <si>
    <t>The Innovators Vol.5</t>
  </si>
  <si>
    <t>The Gene Vol.5</t>
  </si>
  <si>
    <t>The Hollow City Vol.5</t>
  </si>
  <si>
    <t>Foundation Vol.5</t>
  </si>
  <si>
    <t>Sapiens Vol.5</t>
  </si>
  <si>
    <t>Atomic Habits Vol.6</t>
  </si>
  <si>
    <t>Open Wounds Vol.6</t>
  </si>
  <si>
    <t>Edge of Tomorrow Vol.6</t>
  </si>
  <si>
    <t>The Hard Thing About Hard Things Vol.6</t>
  </si>
  <si>
    <t>The Sixth Extinction Vol.6</t>
  </si>
  <si>
    <t>The Last Lecture Vol.6</t>
  </si>
  <si>
    <t>The Tipping Point Vol.6</t>
  </si>
  <si>
    <t>Garden of Lies Vol.6</t>
  </si>
  <si>
    <t>Shoe Dog Vol.6</t>
  </si>
  <si>
    <t>Outliers Vol.6</t>
  </si>
  <si>
    <t>Becoming Vol.6</t>
  </si>
  <si>
    <t>The Hollow City Vol.6</t>
  </si>
  <si>
    <t>The Innovators Vol.6</t>
  </si>
  <si>
    <t>Bad Blood Vol.6</t>
  </si>
  <si>
    <t>A Man Called Ove Vol.6</t>
  </si>
  <si>
    <t>Dark Waters Vol.6</t>
  </si>
  <si>
    <t>Brave New World Vol.6</t>
  </si>
  <si>
    <t>Sapiens Vol.6</t>
  </si>
  <si>
    <t>Steve Jobs Vol.6</t>
  </si>
  <si>
    <t>Principles Vol.6</t>
  </si>
  <si>
    <t>The Lean Startup Vol.6</t>
  </si>
  <si>
    <t>The Kite Runner Vol.6</t>
  </si>
  <si>
    <t>Dune Vol.6</t>
  </si>
  <si>
    <t>Predictably Irrational Vol.6</t>
  </si>
  <si>
    <t>Freakonomics Vol.6</t>
  </si>
  <si>
    <t>Empire of Sand Vol.6</t>
  </si>
  <si>
    <t>Educated Vol.6</t>
  </si>
  <si>
    <t>The Nightingale Vol.6</t>
  </si>
  <si>
    <t>The Road Vol.6</t>
  </si>
  <si>
    <t>Thinking Fast and Slow Vol.6</t>
  </si>
  <si>
    <t>The Goldfinch Vol.6</t>
  </si>
  <si>
    <t>Becoming Vol.7</t>
  </si>
  <si>
    <t>The Kite Runner Vol.7</t>
  </si>
  <si>
    <t>The Hollow City Vol.7</t>
  </si>
  <si>
    <t>A Man Called Ove Vol.7</t>
  </si>
  <si>
    <t>Blink Vol.7</t>
  </si>
  <si>
    <t>1984 Vol.7</t>
  </si>
  <si>
    <t>Brave New World Vol.7</t>
  </si>
  <si>
    <t>The Silent Hours Vol.7</t>
  </si>
  <si>
    <t>The Nightingale Vol.7</t>
  </si>
  <si>
    <t>Creativity Inc Vol.7</t>
  </si>
  <si>
    <t>The Goldfinch Vol.7</t>
  </si>
  <si>
    <t>Nudge Vol.7</t>
  </si>
  <si>
    <t>Garden of Lies Vol.7</t>
  </si>
  <si>
    <t>The Gene Vol.7</t>
  </si>
  <si>
    <t>The Lean Startup Vol.7</t>
  </si>
  <si>
    <t>Shoe Dog Vol.7</t>
  </si>
  <si>
    <t>Letters to the Lost Vol.7</t>
  </si>
  <si>
    <t>Steve Jobs Vol.7</t>
  </si>
  <si>
    <t>Racing in the Rain Vol.7</t>
  </si>
  <si>
    <t>Sapiens Vol.7</t>
  </si>
  <si>
    <t>Elon Musk Vol.7</t>
  </si>
  <si>
    <t>No Country for Old Men Vol.7</t>
  </si>
  <si>
    <t>Foundation Vol.7</t>
  </si>
  <si>
    <t>Dark Waters Vol.7</t>
  </si>
  <si>
    <t>The Road Vol.7</t>
  </si>
  <si>
    <t>All the Light We Cannot See Vol.7</t>
  </si>
  <si>
    <t>The Art of War Vol.7</t>
  </si>
  <si>
    <t>The Tipping Point Vol.7</t>
  </si>
  <si>
    <t>Deep Work Vol.7</t>
  </si>
  <si>
    <t>Thinking Fast and Slow Vol.7</t>
  </si>
  <si>
    <t>Outliers Vol.7</t>
  </si>
  <si>
    <t>The Burning Room Vol.7</t>
  </si>
  <si>
    <t>The Last Lecture Vol.7</t>
  </si>
  <si>
    <t>Bad Blood Vol.7</t>
  </si>
  <si>
    <t>A Light in August Vol.7</t>
  </si>
  <si>
    <t>Dune Vol.7</t>
  </si>
  <si>
    <t>The Hard Thing About Hard Things Vol.7</t>
  </si>
  <si>
    <t>The Lean Startup Vol.8</t>
  </si>
  <si>
    <t>The Kite Runner Vol.8</t>
  </si>
  <si>
    <t>Neuromancer Vol.8</t>
  </si>
  <si>
    <t>Creativity Inc Vol.8</t>
  </si>
  <si>
    <t>Deep Work Vol.8</t>
  </si>
  <si>
    <t>Elon Musk Vol.8</t>
  </si>
  <si>
    <t>The Last Lecture Vol.8</t>
  </si>
  <si>
    <t>The Hollow City Vol.8</t>
  </si>
  <si>
    <t>Dark Waters Vol.8</t>
  </si>
  <si>
    <t>Thinking Fast and Slow Vol.8</t>
  </si>
  <si>
    <t>Racing in the Rain Vol.8</t>
  </si>
  <si>
    <t>Educated Vol.8</t>
  </si>
  <si>
    <t>No Country for Old Men Vol.8</t>
  </si>
  <si>
    <t>The Gene Vol.8</t>
  </si>
  <si>
    <t>Midnight in Paris Vol.8</t>
  </si>
  <si>
    <t>The Silent Hours Vol.8</t>
  </si>
  <si>
    <t>Outliers Vol.8</t>
  </si>
  <si>
    <t>A Light in August Vol.8</t>
  </si>
  <si>
    <t>Blink Vol.8</t>
  </si>
  <si>
    <t>The Nightingale Vol.8</t>
  </si>
  <si>
    <t>Dune Vol.8</t>
  </si>
  <si>
    <t>Garden of Lies Vol.8</t>
  </si>
  <si>
    <t>Nudge Vol.8</t>
  </si>
  <si>
    <t>The Goldfinch Vol.8</t>
  </si>
  <si>
    <t>The Road Vol.8</t>
  </si>
  <si>
    <t>Steve Jobs Vol.8</t>
  </si>
  <si>
    <t>All the Light We Cannot See Vol.8</t>
  </si>
  <si>
    <t>Edge of Tomorrow Vol.8</t>
  </si>
  <si>
    <t>Foundation Vol.8</t>
  </si>
  <si>
    <t>Principles Vol.8</t>
  </si>
  <si>
    <t>The Tipping Point Vol.8</t>
  </si>
  <si>
    <t>1984 Vol.8</t>
  </si>
  <si>
    <t>The Art of War Vol.8</t>
  </si>
  <si>
    <t>Sapiens Vol.8</t>
  </si>
  <si>
    <t>Bad Blood Vol.8</t>
  </si>
  <si>
    <t>Edge of Tomorrow Vol.9</t>
  </si>
  <si>
    <t>Outliers Vol.9</t>
  </si>
  <si>
    <t>A Light in August Vol.9</t>
  </si>
  <si>
    <t>All the Light We Cannot See Vol.9</t>
  </si>
  <si>
    <t>Creativity Inc Vol.9</t>
  </si>
  <si>
    <t>Atomic Habits Vol.9</t>
  </si>
  <si>
    <t>The Lean Startup Vol.9</t>
  </si>
  <si>
    <t>The Silent Hours Vol.9</t>
  </si>
  <si>
    <t>Zero to One Vol.9</t>
  </si>
  <si>
    <t>Brave New World Vol.9</t>
  </si>
  <si>
    <t>The Tipping Point Vol.9</t>
  </si>
  <si>
    <t>Dark Waters Vol.9</t>
  </si>
  <si>
    <t>Racing in the Rain Vol.9</t>
  </si>
  <si>
    <t>Empire of Sand Vol.9</t>
  </si>
  <si>
    <t>Letters to the Lost Vol.9</t>
  </si>
  <si>
    <t>Educated Vol.9</t>
  </si>
  <si>
    <t>The Hollow City Vol.9</t>
  </si>
  <si>
    <t>The Hard Thing About Hard Things Vol.9</t>
  </si>
  <si>
    <t>Nudge Vol.9</t>
  </si>
  <si>
    <t>Bad Blood Vol.9</t>
  </si>
  <si>
    <t>The Burning Room Vol.9</t>
  </si>
  <si>
    <t>Blink Vol.9</t>
  </si>
  <si>
    <t>The Innovators Vol.9</t>
  </si>
  <si>
    <t>Open Wounds Vol.9</t>
  </si>
  <si>
    <t>Becoming Vol.9</t>
  </si>
  <si>
    <t>Midnight in Paris Vol.9</t>
  </si>
  <si>
    <t>Sapiens Vol.9</t>
  </si>
  <si>
    <t>Principles Vol.9</t>
  </si>
  <si>
    <t>Steve Jobs Vol.9</t>
  </si>
  <si>
    <t>No Country for Old Men Vol.9</t>
  </si>
  <si>
    <t>Thinking Fast and Slow Vol.9</t>
  </si>
  <si>
    <t>The Road Vol.9</t>
  </si>
  <si>
    <t>Thinking Fast and Slow Vol.10</t>
  </si>
  <si>
    <t>A Man Called Ove Vol.10</t>
  </si>
  <si>
    <t>A Light in August Vol.10</t>
  </si>
  <si>
    <t>Dune Vol.10</t>
  </si>
  <si>
    <t>The Goldfinch Vol.10</t>
  </si>
  <si>
    <t>Elon Musk Vol.10</t>
  </si>
  <si>
    <t>Zero to One Vol.10</t>
  </si>
  <si>
    <t>Shoe Dog Vol.10</t>
  </si>
  <si>
    <t>Creativity Inc Vol.10</t>
  </si>
  <si>
    <t>The Hard Thing About Hard Things Vol.10</t>
  </si>
  <si>
    <t>Brave New World Vol.10</t>
  </si>
  <si>
    <t>The Sixth Extinction Vol.10</t>
  </si>
  <si>
    <t>The Tipping Point Vol.10</t>
  </si>
  <si>
    <t>Outliers Vol.10</t>
  </si>
  <si>
    <t>Garden of Lies Vol.10</t>
  </si>
  <si>
    <t>Dark Waters Vol.10</t>
  </si>
  <si>
    <t>Open Wounds Vol.10</t>
  </si>
  <si>
    <t>The Kite Runner Vol.10</t>
  </si>
  <si>
    <t>Midnight in Paris Vol.10</t>
  </si>
  <si>
    <t>Steve Jobs Vol.10</t>
  </si>
  <si>
    <t>All the Light We Cannot See Vol.10</t>
  </si>
  <si>
    <t>The Nightingale Vol.10</t>
  </si>
  <si>
    <t>Racing in the Rain Vol.10</t>
  </si>
  <si>
    <t>The Gene Vol.10</t>
  </si>
  <si>
    <t>Predictably Irrational Vol.10</t>
  </si>
  <si>
    <t>Atomic Habits Vol.10</t>
  </si>
  <si>
    <t>Educated Vol.10</t>
  </si>
  <si>
    <t>Freakonomics Vol.10</t>
  </si>
  <si>
    <t>Becoming Vol.10</t>
  </si>
  <si>
    <t>The Lean Startup Vol.10</t>
  </si>
  <si>
    <t>A Man Called Ove Vol.11</t>
  </si>
  <si>
    <t>The Burning Room Vol.11</t>
  </si>
  <si>
    <t>Bad Blood Vol.11</t>
  </si>
  <si>
    <t>Nudge Vol.11</t>
  </si>
  <si>
    <t>Creativity Inc Vol.11</t>
  </si>
  <si>
    <t>The Last Lecture Vol.11</t>
  </si>
  <si>
    <t>Principles Vol.11</t>
  </si>
  <si>
    <t>Zero to One Vol.11</t>
  </si>
  <si>
    <t>Freakonomics Vol.11</t>
  </si>
  <si>
    <t>Dark Waters Vol.11</t>
  </si>
  <si>
    <t>Deep Work Vol.11</t>
  </si>
  <si>
    <t>Letters to the Lost Vol.11</t>
  </si>
  <si>
    <t>1984 Vol.11</t>
  </si>
  <si>
    <t>The Hollow City Vol.11</t>
  </si>
  <si>
    <t>Becoming Vol.11</t>
  </si>
  <si>
    <t>Steve Jobs Vol.11</t>
  </si>
  <si>
    <t>The Gene Vol.11</t>
  </si>
  <si>
    <t>Garden of Lies Vol.11</t>
  </si>
  <si>
    <t>Shoe Dog Vol.11</t>
  </si>
  <si>
    <t>Elon Musk Vol.11</t>
  </si>
  <si>
    <t>The Hard Thing About Hard Things Vol.11</t>
  </si>
  <si>
    <t>The Tipping Point Vol.11</t>
  </si>
  <si>
    <t>Brave New World Vol.11</t>
  </si>
  <si>
    <t>Open Wounds Vol.11</t>
  </si>
  <si>
    <t>Predictably Irrational Vol.11</t>
  </si>
  <si>
    <t>Outliers Vol.11</t>
  </si>
  <si>
    <t>The Silent Hours Vol.11</t>
  </si>
  <si>
    <t>Empire of Sand Vol.11</t>
  </si>
  <si>
    <t>Neuromancer Vol.11</t>
  </si>
  <si>
    <t>Edge of Tomorrow Vol.11</t>
  </si>
  <si>
    <t>The Sixth Extinction Vol.11</t>
  </si>
  <si>
    <t>Educated Vol.11</t>
  </si>
  <si>
    <t>The Innovators Vol.11</t>
  </si>
  <si>
    <t>Midnight in Paris Vol.11</t>
  </si>
  <si>
    <t>All the Light We Cannot See Vol.11</t>
  </si>
  <si>
    <t>Edge of Tomorrow Vol.12</t>
  </si>
  <si>
    <t>Creativity Inc Vol.12</t>
  </si>
  <si>
    <t>Midnight in Paris Vol.12</t>
  </si>
  <si>
    <t>The Lean Startup Vol.12</t>
  </si>
  <si>
    <t>Dune Vol.12</t>
  </si>
  <si>
    <t>The Hard Thing About Hard Things Vol.12</t>
  </si>
  <si>
    <t>The Gene Vol.12</t>
  </si>
  <si>
    <t>A Light in August Vol.12</t>
  </si>
  <si>
    <t>Outliers Vol.12</t>
  </si>
  <si>
    <t>Nudge Vol.12</t>
  </si>
  <si>
    <t>1984 Vol.12</t>
  </si>
  <si>
    <t>The Kite Runner Vol.12</t>
  </si>
  <si>
    <t>A Man Called Ove Vol.12</t>
  </si>
  <si>
    <t>Predictably Irrational Vol.12</t>
  </si>
  <si>
    <t>Letters to the Lost Vol.12</t>
  </si>
  <si>
    <t>Deep Work Vol.12</t>
  </si>
  <si>
    <t>The Innovators Vol.12</t>
  </si>
  <si>
    <t>The Nightingale Vol.12</t>
  </si>
  <si>
    <t>Foundation Vol.12</t>
  </si>
  <si>
    <t>The Burning Room Vol.12</t>
  </si>
  <si>
    <t>Racing in the Rain Vol.12</t>
  </si>
  <si>
    <t>Brave New World Vol.12</t>
  </si>
  <si>
    <t>Thinking Fast and Slow Vol.12</t>
  </si>
  <si>
    <t>Principles Vol.12</t>
  </si>
  <si>
    <t>Steve Jobs Vol.12</t>
  </si>
  <si>
    <t>Dark Waters Vol.12</t>
  </si>
  <si>
    <t>The Last Lecture Vol.12</t>
  </si>
  <si>
    <t>The Silent Hours Vol.12</t>
  </si>
  <si>
    <t>The Goldfinch Vol.12</t>
  </si>
  <si>
    <t>All the Light We Cannot See Vol.12</t>
  </si>
  <si>
    <t>Dark Waters Vol.13</t>
  </si>
  <si>
    <t>The Burning Room Vol.13</t>
  </si>
  <si>
    <t>No Country for Old Men Vol.13</t>
  </si>
  <si>
    <t>Edge of Tomorrow Vol.13</t>
  </si>
  <si>
    <t>Dune Vol.13</t>
  </si>
  <si>
    <t>Principles Vol.13</t>
  </si>
  <si>
    <t>Blink Vol.13</t>
  </si>
  <si>
    <t>The Gene Vol.13</t>
  </si>
  <si>
    <t>The Art of War Vol.13</t>
  </si>
  <si>
    <t>Foundation Vol.13</t>
  </si>
  <si>
    <t>The Lean Startup Vol.13</t>
  </si>
  <si>
    <t>The Nightingale Vol.13</t>
  </si>
  <si>
    <t>Outliers Vol.13</t>
  </si>
  <si>
    <t>The Hard Thing About Hard Things Vol.13</t>
  </si>
  <si>
    <t>Elon Musk Vol.13</t>
  </si>
  <si>
    <t>Letters to the Lost Vol.13</t>
  </si>
  <si>
    <t>The Sixth Extinction Vol.13</t>
  </si>
  <si>
    <t>A Light in August Vol.13</t>
  </si>
  <si>
    <t>Brave New World Vol.13</t>
  </si>
  <si>
    <t>Sapiens Vol.13</t>
  </si>
  <si>
    <t>The Road Vol.13</t>
  </si>
  <si>
    <t>Zero to One Vol.13</t>
  </si>
  <si>
    <t>Shoe Dog Vol.13</t>
  </si>
  <si>
    <t>All the Light We Cannot See Vol.13</t>
  </si>
  <si>
    <t>Empire of Sand Vol.13</t>
  </si>
  <si>
    <t>Atomic Habits Vol.13</t>
  </si>
  <si>
    <t>The Innovators Vol.13</t>
  </si>
  <si>
    <t>The Tipping Point Vol.13</t>
  </si>
  <si>
    <t>1984 Vol.13</t>
  </si>
  <si>
    <t>Thinking Fast and Slow Vol.13</t>
  </si>
  <si>
    <t>Creativity Inc Vol.13</t>
  </si>
  <si>
    <t>Nudge Vol.14</t>
  </si>
  <si>
    <t>Neuromancer Vol.14</t>
  </si>
  <si>
    <t>The Tipping Point Vol.14</t>
  </si>
  <si>
    <t>The Sixth Extinction Vol.14</t>
  </si>
  <si>
    <t>Deep Work Vol.14</t>
  </si>
  <si>
    <t>The Innovators Vol.14</t>
  </si>
  <si>
    <t>Predictably Irrational Vol.14</t>
  </si>
  <si>
    <t>Midnight in Paris Vol.14</t>
  </si>
  <si>
    <t>Bad Blood Vol.14</t>
  </si>
  <si>
    <t>Dune Vol.14</t>
  </si>
  <si>
    <t>The Goldfinch Vol.14</t>
  </si>
  <si>
    <t>Edge of Tomorrow Vol.14</t>
  </si>
  <si>
    <t>Foundation Vol.14</t>
  </si>
  <si>
    <t>Educated Vol.14</t>
  </si>
  <si>
    <t>A Light in August Vol.14</t>
  </si>
  <si>
    <t>The Art of War Vol.14</t>
  </si>
  <si>
    <t>Steve Jobs Vol.14</t>
  </si>
  <si>
    <t>Sapiens Vol.14</t>
  </si>
  <si>
    <t>A Man Called Ove Vol.14</t>
  </si>
  <si>
    <t>Empire of Sand Vol.14</t>
  </si>
  <si>
    <t>The Last Lecture Vol.14</t>
  </si>
  <si>
    <t>Creativity Inc Vol.14</t>
  </si>
  <si>
    <t>The Kite Runner Vol.14</t>
  </si>
  <si>
    <t>Thinking Fast and Slow Vol.14</t>
  </si>
  <si>
    <t>Zero to One Vol.14</t>
  </si>
  <si>
    <t>Atomic Habits Vol.14</t>
  </si>
  <si>
    <t>The Road Vol.14</t>
  </si>
  <si>
    <t>The Hollow City Vol.14</t>
  </si>
  <si>
    <t>Open Wounds Vol.14</t>
  </si>
  <si>
    <t>The Silent Hours Vol.14</t>
  </si>
  <si>
    <t>The Nightingale Vol.14</t>
  </si>
  <si>
    <t>The Last Lecture Vol.15</t>
  </si>
  <si>
    <t>The Gene Vol.15</t>
  </si>
  <si>
    <t>No Country for Old Men Vol.15</t>
  </si>
  <si>
    <t>Freakonomics Vol.15</t>
  </si>
  <si>
    <t>Blink Vol.15</t>
  </si>
  <si>
    <t>Zero to One Vol.15</t>
  </si>
  <si>
    <t>The Burning Room Vol.15</t>
  </si>
  <si>
    <t>Nudge Vol.15</t>
  </si>
  <si>
    <t>Principles Vol.15</t>
  </si>
  <si>
    <t>Elon Musk Vol.15</t>
  </si>
  <si>
    <t>The Lean Startup Vol.15</t>
  </si>
  <si>
    <t>A Light in August Vol.15</t>
  </si>
  <si>
    <t>Neuromancer Vol.15</t>
  </si>
  <si>
    <t>The Art of War Vol.15</t>
  </si>
  <si>
    <t>Thinking Fast and Slow Vol.15</t>
  </si>
  <si>
    <t>All the Light We Cannot See Vol.15</t>
  </si>
  <si>
    <t>The Nightingale Vol.15</t>
  </si>
  <si>
    <t>The Innovators Vol.15</t>
  </si>
  <si>
    <t>Brave New World Vol.15</t>
  </si>
  <si>
    <t>Garden of Lies Vol.15</t>
  </si>
  <si>
    <t>Dark Waters Vol.15</t>
  </si>
  <si>
    <t>Midnight in Paris Vol.15</t>
  </si>
  <si>
    <t>1984 Vol.15</t>
  </si>
  <si>
    <t>A Man Called Ove Vol.15</t>
  </si>
  <si>
    <t>Educated Vol.15</t>
  </si>
  <si>
    <t>The Road Vol.15</t>
  </si>
  <si>
    <t>The Kite Runner Vol.15</t>
  </si>
  <si>
    <t>Becoming Vol.15</t>
  </si>
  <si>
    <t>Creativity Inc Vol.15</t>
  </si>
  <si>
    <t>Empire of Sand Vol.16</t>
  </si>
  <si>
    <t>Racing in the Rain Vol.16</t>
  </si>
  <si>
    <t>The Innovators Vol.16</t>
  </si>
  <si>
    <t>Principles Vol.16</t>
  </si>
  <si>
    <t>Zero to One Vol.16</t>
  </si>
  <si>
    <t>The Hard Thing About Hard Things Vol.16</t>
  </si>
  <si>
    <t>1984 Vol.16</t>
  </si>
  <si>
    <t>Elon Musk Vol.16</t>
  </si>
  <si>
    <t>Neuromancer Vol.16</t>
  </si>
  <si>
    <t>The Last Lecture Vol.16</t>
  </si>
  <si>
    <t>Bad Blood Vol.16</t>
  </si>
  <si>
    <t>The Goldfinch Vol.16</t>
  </si>
  <si>
    <t>Becoming Vol.16</t>
  </si>
  <si>
    <t>The Nightingale Vol.16</t>
  </si>
  <si>
    <t>Outliers Vol.16</t>
  </si>
  <si>
    <t>Foundation Vol.16</t>
  </si>
  <si>
    <t>The Tipping Point Vol.16</t>
  </si>
  <si>
    <t>Predictably Irrational Vol.16</t>
  </si>
  <si>
    <t>Creativity Inc Vol.16</t>
  </si>
  <si>
    <t>Deep Work Vol.16</t>
  </si>
  <si>
    <t>Freakonomics Vol.16</t>
  </si>
  <si>
    <t>The Burning Room Vol.16</t>
  </si>
  <si>
    <t>Atomic Habits Vol.16</t>
  </si>
  <si>
    <t>Letters to the Lost Vol.16</t>
  </si>
  <si>
    <t>The Silent Hours Vol.16</t>
  </si>
  <si>
    <t>Sapiens Vol.16</t>
  </si>
  <si>
    <t>Thinking Fast and Slow Vol.16</t>
  </si>
  <si>
    <t>Midnight in Paris Vol.16</t>
  </si>
  <si>
    <t>Nudge Vol.16</t>
  </si>
  <si>
    <t>Shoe Dog Vol.16</t>
  </si>
  <si>
    <t>The Road Vol.16</t>
  </si>
  <si>
    <t>Blink Vol.16</t>
  </si>
  <si>
    <t>Educated Vol.16</t>
  </si>
  <si>
    <t>Educated Vol.17</t>
  </si>
  <si>
    <t>Bad Blood Vol.17</t>
  </si>
  <si>
    <t>Steve Jobs Vol.17</t>
  </si>
  <si>
    <t>A Light in August Vol.17</t>
  </si>
  <si>
    <t>Letters to the Lost Vol.17</t>
  </si>
  <si>
    <t>Open Wounds Vol.17</t>
  </si>
  <si>
    <t>Outliers Vol.17</t>
  </si>
  <si>
    <t>Becoming Vol.17</t>
  </si>
  <si>
    <t>Nudge Vol.17</t>
  </si>
  <si>
    <t>Empire of Sand Vol.17</t>
  </si>
  <si>
    <t>Racing in the Rain Vol.17</t>
  </si>
  <si>
    <t>Creativity Inc Vol.17</t>
  </si>
  <si>
    <t>Predictably Irrational Vol.17</t>
  </si>
  <si>
    <t>Dune Vol.17</t>
  </si>
  <si>
    <t>The Art of War Vol.17</t>
  </si>
  <si>
    <t>The Innovators Vol.17</t>
  </si>
  <si>
    <t>Zero to One Vol.17</t>
  </si>
  <si>
    <t>Dark Waters Vol.17</t>
  </si>
  <si>
    <t>The Gene Vol.17</t>
  </si>
  <si>
    <t>The Kite Runner Vol.17</t>
  </si>
  <si>
    <t>Sapiens Vol.17</t>
  </si>
  <si>
    <t>Elon Musk Vol.17</t>
  </si>
  <si>
    <t>Blink Vol.17</t>
  </si>
  <si>
    <t>Deep Work Vol.17</t>
  </si>
  <si>
    <t>Garden of Lies Vol.17</t>
  </si>
  <si>
    <t>Freakonomics Vol.17</t>
  </si>
  <si>
    <t>The Sixth Extinction Vol.17</t>
  </si>
  <si>
    <t>The Last Lecture Vol.17</t>
  </si>
  <si>
    <t>The Road Vol.17</t>
  </si>
  <si>
    <t>Thinking Fast and Slow Vol.17</t>
  </si>
  <si>
    <t>1984 Vol.17</t>
  </si>
  <si>
    <t>The Goldfinch Vol.17</t>
  </si>
  <si>
    <t>The Tipping Point Vol.17</t>
  </si>
  <si>
    <t>Atomic Habits Vol.17</t>
  </si>
  <si>
    <t>Neuromancer Vol.17</t>
  </si>
  <si>
    <t>Edge of Tomorrow Vol.18</t>
  </si>
  <si>
    <t>No Country for Old Men Vol.18</t>
  </si>
  <si>
    <t>The Last Lecture Vol.18</t>
  </si>
  <si>
    <t>Midnight in Paris Vol.18</t>
  </si>
  <si>
    <t>The Sixth Extinction Vol.18</t>
  </si>
  <si>
    <t>1984 Vol.18</t>
  </si>
  <si>
    <t>Freakonomics Vol.18</t>
  </si>
  <si>
    <t>Neuromancer Vol.18</t>
  </si>
  <si>
    <t>Letters to the Lost Vol.18</t>
  </si>
  <si>
    <t>Empire of Sand Vol.18</t>
  </si>
  <si>
    <t>Open Wounds Vol.18</t>
  </si>
  <si>
    <t>The Art of War Vol.18</t>
  </si>
  <si>
    <t>Brave New World Vol.18</t>
  </si>
  <si>
    <t>The Lean Startup Vol.18</t>
  </si>
  <si>
    <t>Educated Vol.18</t>
  </si>
  <si>
    <t>Zero to One Vol.18</t>
  </si>
  <si>
    <t>Garden of Lies Vol.18</t>
  </si>
  <si>
    <t>The Road Vol.18</t>
  </si>
  <si>
    <t>Shoe Dog Vol.18</t>
  </si>
  <si>
    <t>The Gene Vol.18</t>
  </si>
  <si>
    <t>Principles Vol.18</t>
  </si>
  <si>
    <t>Dark Waters Vol.18</t>
  </si>
  <si>
    <t>Blink Vol.18</t>
  </si>
  <si>
    <t>Bad Blood Vol.18</t>
  </si>
  <si>
    <t>Sapiens Vol.18</t>
  </si>
  <si>
    <t>Foundation Vol.18</t>
  </si>
  <si>
    <t>The Hollow City Vol.18</t>
  </si>
  <si>
    <t>All the Light We Cannot See Vol.18</t>
  </si>
  <si>
    <t>The Innovators Vol.18</t>
  </si>
  <si>
    <t>The Goldfinch Vol.18</t>
  </si>
  <si>
    <t>Predictably Irrational Vol.18</t>
  </si>
  <si>
    <t>Bad Blood Vol.19</t>
  </si>
  <si>
    <t>Atomic Habits Vol.19</t>
  </si>
  <si>
    <t>Sapiens Vol.19</t>
  </si>
  <si>
    <t>The Kite Runner Vol.19</t>
  </si>
  <si>
    <t>Zero to One Vol.19</t>
  </si>
  <si>
    <t>The Road Vol.19</t>
  </si>
  <si>
    <t>The Hollow City Vol.19</t>
  </si>
  <si>
    <t>The Silent Hours Vol.19</t>
  </si>
  <si>
    <t>The Tipping Point Vol.19</t>
  </si>
  <si>
    <t>A Light in August Vol.19</t>
  </si>
  <si>
    <t>Creativity Inc Vol.19</t>
  </si>
  <si>
    <t>The Nightingale Vol.19</t>
  </si>
  <si>
    <t>The Goldfinch Vol.19</t>
  </si>
  <si>
    <t>Becoming Vol.19</t>
  </si>
  <si>
    <t>Freakonomics Vol.19</t>
  </si>
  <si>
    <t>The Gene Vol.19</t>
  </si>
  <si>
    <t>The Hard Thing About Hard Things Vol.19</t>
  </si>
  <si>
    <t>A Man Called Ove Vol.19</t>
  </si>
  <si>
    <t>1984 Vol.19</t>
  </si>
  <si>
    <t>Foundation Vol.19</t>
  </si>
  <si>
    <t>Shoe Dog Vol.19</t>
  </si>
  <si>
    <t>Racing in the Rain Vol.19</t>
  </si>
  <si>
    <t>Thinking Fast and Slow Vol.19</t>
  </si>
  <si>
    <t>Predictably Irrational Vol.19</t>
  </si>
  <si>
    <t>Deep Work Vol.19</t>
  </si>
  <si>
    <t>Educated Vol.19</t>
  </si>
  <si>
    <t>Blink Vol.19</t>
  </si>
  <si>
    <t>All the Light We Cannot See Vol.19</t>
  </si>
  <si>
    <t>Dune Vol.19</t>
  </si>
  <si>
    <t>Midnight in Paris Vol.19</t>
  </si>
  <si>
    <t>The Art of War Vol.19</t>
  </si>
  <si>
    <t>Steve Jobs Vol.19</t>
  </si>
  <si>
    <t>Elon Musk Vol.19</t>
  </si>
  <si>
    <t>Blink Vol.20</t>
  </si>
  <si>
    <t>Becoming Vol.20</t>
  </si>
  <si>
    <t>Foundation Vol.20</t>
  </si>
  <si>
    <t>The Burning Room Vol.20</t>
  </si>
  <si>
    <t>Atomic Habits Vol.20</t>
  </si>
  <si>
    <t>Nudge Vol.20</t>
  </si>
  <si>
    <t>The Hard Thing About Hard Things Vol.20</t>
  </si>
  <si>
    <t>Sapiens Vol.20</t>
  </si>
  <si>
    <t>The Goldfinch Vol.20</t>
  </si>
  <si>
    <t>A Man Called Ove Vol.20</t>
  </si>
  <si>
    <t>Racing in the Rain Vol.20</t>
  </si>
  <si>
    <t>Elon Musk Vol.20</t>
  </si>
  <si>
    <t>The Nightingale Vol.20</t>
  </si>
  <si>
    <t>Principles Vol.20</t>
  </si>
  <si>
    <t>A Light in August Vol.20</t>
  </si>
  <si>
    <t>The Kite Runner Vol.20</t>
  </si>
  <si>
    <t>Bad Blood Vol.20</t>
  </si>
  <si>
    <t>Dune Vol.20</t>
  </si>
  <si>
    <t>Deep Work Vol.20</t>
  </si>
  <si>
    <t>No Country for Old Men Vol.20</t>
  </si>
  <si>
    <t>Zero to One Vol.20</t>
  </si>
  <si>
    <t>The Art of War Vol.20</t>
  </si>
  <si>
    <t>The Innovators Vol.20</t>
  </si>
  <si>
    <t>The Road Vol.20</t>
  </si>
  <si>
    <t>Outliers Vol.20</t>
  </si>
  <si>
    <t>Educated Vol.20</t>
  </si>
  <si>
    <t>Shoe Dog Vol.20</t>
  </si>
  <si>
    <t>The Hollow City Vol.20</t>
  </si>
  <si>
    <t>Steve Jobs Vol.20</t>
  </si>
  <si>
    <t>Letters to the Lost Vol.20</t>
  </si>
  <si>
    <t>The Sixth Extinction Vol.20</t>
  </si>
  <si>
    <t>The Silent Hours Vol.20</t>
  </si>
  <si>
    <r>
      <rPr>
        <b/>
        <sz val="9"/>
        <color rgb="FFC8952A"/>
        <rFont val="Calibri"/>
        <family val="2"/>
        <scheme val="minor"/>
      </rPr>
      <t>FINDING 4</t>
    </r>
    <r>
      <rPr>
        <sz val="11"/>
        <color theme="1"/>
        <rFont val="Calibri"/>
        <family val="2"/>
        <scheme val="minor"/>
      </rPr>
      <t xml:space="preserve">
</t>
    </r>
    <r>
      <rPr>
        <sz val="11"/>
        <color theme="0"/>
        <rFont val="Calibri"/>
        <family val="2"/>
        <scheme val="minor"/>
      </rPr>
      <t>Ratings vs Price</t>
    </r>
  </si>
  <si>
    <r>
      <t xml:space="preserve">FINDING 3                </t>
    </r>
    <r>
      <rPr>
        <b/>
        <sz val="9"/>
        <color rgb="FFFFFFFF"/>
        <rFont val="Calibri"/>
        <family val="2"/>
        <scheme val="minor"/>
      </rPr>
      <t>Demand Analysis</t>
    </r>
  </si>
  <si>
    <r>
      <rPr>
        <b/>
        <sz val="9"/>
        <color rgb="FFC8952A"/>
        <rFont val="Calibri"/>
        <family val="2"/>
        <scheme val="minor"/>
      </rPr>
      <t>FINDING 2</t>
    </r>
    <r>
      <rPr>
        <b/>
        <sz val="11"/>
        <color rgb="FFC8952A"/>
        <rFont val="Calibri"/>
        <family val="2"/>
        <scheme val="minor"/>
      </rPr>
      <t xml:space="preserve">                </t>
    </r>
    <r>
      <rPr>
        <b/>
        <sz val="9"/>
        <color rgb="FFFFFFFF"/>
        <rFont val="Calibri"/>
        <family val="2"/>
        <scheme val="minor"/>
      </rPr>
      <t>Pricing Patterns</t>
    </r>
  </si>
  <si>
    <t>Pricing Patterns</t>
  </si>
  <si>
    <t>Price has virtually no explanatory power over rating, with R² = 0.0042 indicating that less than 1% of price variation is explained by rating. The trendline shows a negative slope. It means that as ratings increase, the price falls. It contradicts my initial prediction. The chart shows that the prices are spread from £1 to £60 at every rating. This confirms that retailer’s pricing policy is independent of the rating.</t>
  </si>
  <si>
    <r>
      <rPr>
        <b/>
        <sz val="9"/>
        <color rgb="FFC8952A"/>
        <rFont val="Calibri"/>
        <family val="2"/>
        <scheme val="minor"/>
      </rPr>
      <t xml:space="preserve">FINDING 1 </t>
    </r>
    <r>
      <rPr>
        <sz val="11"/>
        <color theme="1"/>
        <rFont val="Calibri"/>
        <family val="2"/>
        <scheme val="minor"/>
      </rPr>
      <t xml:space="preserve">             </t>
    </r>
    <r>
      <rPr>
        <b/>
        <sz val="10"/>
        <color rgb="FFFFFFFF"/>
        <rFont val="Calibri"/>
        <family val="2"/>
        <scheme val="minor"/>
      </rPr>
      <t>Catalogue Distribution</t>
    </r>
  </si>
  <si>
    <t>The retailer carries 30 genres, with title counts ranging from 44 books in Women's Fiction to 22 books in Travel. The top 7 genres account for only 29% of the catalogue, while the remaining 71% is distributed across 23 genres, indicating a broad and balanced catalogue strategy rather than a heavy focus on a few categories.
The retailer prioritizes catalogue diversity, enabling it to serve a wide range of reader interests while reducing reliance on a small number of genres.</t>
  </si>
  <si>
    <t>Average book prices are relatively consistent across genres (£24–£41), but large price variations within several genres suggest inconsistent pricing practices. Music has the lowest average price (£26.45) despite the widest price range (£58.54), while Academic has the highest average price but includes some low-priced titles. Young Adult shows the most consistent pricing, with both a low average price and the narrowest price range.
The retailer may have opportunities to optimize pricing by reviewing underpriced titles in Music and Academic genres and assessing whether current pricing structures are maximizing revenue and profitability.</t>
  </si>
  <si>
    <t>Analysis of demand gaps shows that Women's Fiction has the largest unmet demand, indicating customer interest significantly exceeds current inventory levels. Notably, all genres with the highest demand gaps are already classified as High Distribution genres, meaning they are popular, highly rated by customers, and receive substantial catalogue space. Despite this, current stock levels appear insufficient to meet market demand.
The retailer may be missing sales opportunities in its strongest-performing genres due to understocking. Increasing inventory levels in high-demand categories such as Women's Fiction and other high-gap genres could improve product availability, customer satisfaction, and overall revenue growth.</t>
  </si>
  <si>
    <t>BOOK MARKET  |  MARKETING INTELLIGENCE  |  BUSINESS ANALYSIS</t>
  </si>
  <si>
    <t>An online book retailer needs competitive market intelligence: which genres dominate, how prices vary, where demand gaps exist, and how ratings correlate with pricing. The retailer wants to use the findings of this report to inform catalogue, pricing, and buying strategy.</t>
  </si>
  <si>
    <t>Key Performance Indicators (KPIs)</t>
  </si>
  <si>
    <t>Total Books</t>
  </si>
  <si>
    <t>Avg Stock Count</t>
  </si>
  <si>
    <t>Avg Price</t>
  </si>
  <si>
    <t>Column8</t>
  </si>
  <si>
    <t>Column9</t>
  </si>
  <si>
    <t>AVG RATING</t>
  </si>
  <si>
    <t>AVG RATING Status</t>
  </si>
  <si>
    <t>Average Price (£)</t>
  </si>
  <si>
    <t>Max Price (£)</t>
  </si>
  <si>
    <t>Min Price (£)</t>
  </si>
  <si>
    <t>Range  (£)</t>
  </si>
  <si>
    <t>Demand Category</t>
  </si>
  <si>
    <t>Percentage (%)</t>
  </si>
  <si>
    <t>range</t>
  </si>
  <si>
    <t>Scale</t>
  </si>
  <si>
    <t>Median Stock</t>
  </si>
  <si>
    <t>Rating Scale</t>
  </si>
  <si>
    <t>Price Range</t>
  </si>
  <si>
    <t>scale 1-5</t>
  </si>
  <si>
    <t>Distinct Count of Genre</t>
  </si>
  <si>
    <t>£1 - £60</t>
  </si>
  <si>
    <t>Cataloque Distribution Chart</t>
  </si>
  <si>
    <t>+23 More genres</t>
  </si>
  <si>
    <t>Top 7</t>
  </si>
  <si>
    <t>Pie Chart</t>
  </si>
  <si>
    <t>Category</t>
  </si>
  <si>
    <t>Sum</t>
  </si>
  <si>
    <t>Other  genres</t>
  </si>
  <si>
    <t>Average Price</t>
  </si>
  <si>
    <t>Widest</t>
  </si>
  <si>
    <t xml:space="preserve">Genre with widest Price Range </t>
  </si>
  <si>
    <t>Narrowest Price Range</t>
  </si>
  <si>
    <t xml:space="preserve">Genre with Narrowest Price Range </t>
  </si>
  <si>
    <t>Slicer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</si>
</sst>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0.0"/>
    <numFmt numFmtId="166" formatCode="[$£-809]#,##0.00"/>
  </numFmts>
  <fonts count="16" x14ac:knownFonts="1">
    <font>
      <sz val="11"/>
      <color theme="1"/>
      <name val="Calibri"/>
      <family val="2"/>
      <scheme val="minor"/>
    </font>
    <font>
      <sz val="11"/>
      <color theme="1"/>
      <name val="Calibri"/>
      <family val="2"/>
      <scheme val="minor"/>
    </font>
    <font>
      <b/>
      <sz val="11"/>
      <color theme="1"/>
      <name val="Calibri"/>
      <family val="2"/>
      <scheme val="minor"/>
    </font>
    <font>
      <b/>
      <sz val="16"/>
      <color rgb="FFFFFFFF"/>
      <name val="Calibri"/>
      <family val="2"/>
      <scheme val="minor"/>
    </font>
    <font>
      <sz val="9"/>
      <color rgb="FF1B2A4A"/>
      <name val="Calibri"/>
      <family val="2"/>
      <scheme val="minor"/>
    </font>
    <font>
      <b/>
      <sz val="11"/>
      <color rgb="FFFFFFFF"/>
      <name val="Calibri"/>
      <family val="2"/>
    </font>
    <font>
      <b/>
      <sz val="10"/>
      <color rgb="FFFFFFFF"/>
      <name val="Calibri"/>
      <family val="2"/>
      <scheme val="minor"/>
    </font>
    <font>
      <b/>
      <sz val="9"/>
      <color rgb="FFC8952A"/>
      <name val="Calibri"/>
      <family val="2"/>
      <scheme val="minor"/>
    </font>
    <font>
      <sz val="8"/>
      <color rgb="FF1B2A4A"/>
      <name val="Calibri"/>
      <family val="2"/>
      <scheme val="minor"/>
    </font>
    <font>
      <sz val="11"/>
      <color theme="0"/>
      <name val="Calibri"/>
      <family val="2"/>
      <scheme val="minor"/>
    </font>
    <font>
      <b/>
      <sz val="11"/>
      <color rgb="FFC8952A"/>
      <name val="Calibri"/>
      <family val="2"/>
      <scheme val="minor"/>
    </font>
    <font>
      <b/>
      <sz val="9"/>
      <color rgb="FFFFFFFF"/>
      <name val="Calibri"/>
      <family val="2"/>
      <scheme val="minor"/>
    </font>
    <font>
      <b/>
      <sz val="9"/>
      <color rgb="FF1B2A4A"/>
      <name val="Calibri"/>
      <family val="2"/>
      <scheme val="minor"/>
    </font>
    <font>
      <sz val="8"/>
      <name val="Calibri"/>
      <family val="2"/>
      <scheme val="minor"/>
    </font>
    <font>
      <b/>
      <sz val="13"/>
      <color theme="1"/>
      <name val="Calibri"/>
      <family val="2"/>
      <scheme val="minor"/>
    </font>
    <font>
      <sz val="11"/>
      <color theme="1"/>
      <name val="Calibri"/>
      <family val="2"/>
    </font>
  </fonts>
  <fills count="14">
    <fill>
      <patternFill patternType="none"/>
    </fill>
    <fill>
      <patternFill patternType="gray125"/>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rgb="FF1B2A4A"/>
        <bgColor indexed="64"/>
      </patternFill>
    </fill>
    <fill>
      <patternFill patternType="solid">
        <fgColor rgb="FFC8952A"/>
        <bgColor indexed="64"/>
      </patternFill>
    </fill>
    <fill>
      <patternFill patternType="solid">
        <fgColor rgb="FFF2F4F7"/>
        <bgColor indexed="64"/>
      </patternFill>
    </fill>
    <fill>
      <patternFill patternType="solid">
        <fgColor rgb="FF233341"/>
        <bgColor indexed="64"/>
      </patternFill>
    </fill>
    <fill>
      <patternFill patternType="solid">
        <fgColor rgb="FFE85F06"/>
        <bgColor indexed="64"/>
      </patternFill>
    </fill>
    <fill>
      <patternFill patternType="solid">
        <fgColor rgb="FF025469"/>
        <bgColor indexed="64"/>
      </patternFill>
    </fill>
    <fill>
      <patternFill patternType="solid">
        <fgColor rgb="FF051F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FFFF0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43">
    <xf numFmtId="0" fontId="0" fillId="0" borderId="0" xfId="0"/>
    <xf numFmtId="0" fontId="0" fillId="0" borderId="0" xfId="0" applyNumberFormat="1"/>
    <xf numFmtId="0" fontId="0" fillId="0" borderId="0" xfId="0" pivotButton="1"/>
    <xf numFmtId="0" fontId="0" fillId="0" borderId="0" xfId="0" applyAlignment="1">
      <alignment horizontal="left"/>
    </xf>
    <xf numFmtId="0" fontId="2" fillId="3" borderId="0" xfId="0" applyFont="1" applyFill="1"/>
    <xf numFmtId="0" fontId="0" fillId="3" borderId="0" xfId="0" applyFill="1"/>
    <xf numFmtId="164" fontId="0" fillId="0" borderId="0" xfId="1" applyNumberFormat="1" applyFont="1"/>
    <xf numFmtId="10" fontId="0" fillId="0" borderId="0" xfId="0" applyNumberFormat="1"/>
    <xf numFmtId="2" fontId="0" fillId="0" borderId="0" xfId="0" applyNumberFormat="1"/>
    <xf numFmtId="0" fontId="0" fillId="4" borderId="0" xfId="0" applyFill="1"/>
    <xf numFmtId="0" fontId="0" fillId="5" borderId="0" xfId="0" applyFill="1"/>
    <xf numFmtId="0" fontId="0" fillId="6" borderId="0" xfId="0" applyFill="1"/>
    <xf numFmtId="0" fontId="2" fillId="2" borderId="0" xfId="0" applyFont="1" applyFill="1" applyBorder="1"/>
    <xf numFmtId="0" fontId="0" fillId="0" borderId="0" xfId="0" applyAlignment="1">
      <alignment horizontal="center"/>
    </xf>
    <xf numFmtId="0" fontId="0" fillId="7" borderId="0" xfId="0" applyFill="1"/>
    <xf numFmtId="0" fontId="0" fillId="8" borderId="0" xfId="0" applyFill="1"/>
    <xf numFmtId="0" fontId="0" fillId="9" borderId="0" xfId="0" applyFill="1"/>
    <xf numFmtId="0" fontId="0" fillId="9" borderId="0" xfId="0" applyFill="1" applyAlignment="1">
      <alignment horizontal="left" vertical="center" wrapText="1"/>
    </xf>
    <xf numFmtId="0" fontId="10" fillId="9" borderId="0" xfId="0" applyFont="1" applyFill="1" applyAlignment="1">
      <alignment horizontal="left" vertical="center" wrapText="1"/>
    </xf>
    <xf numFmtId="0" fontId="7" fillId="9" borderId="0" xfId="0" applyFont="1" applyFill="1" applyAlignment="1">
      <alignment horizontal="left" vertical="center" wrapText="1"/>
    </xf>
    <xf numFmtId="0" fontId="0" fillId="10" borderId="0" xfId="0" applyFill="1"/>
    <xf numFmtId="0" fontId="0" fillId="11" borderId="0" xfId="0" applyFill="1"/>
    <xf numFmtId="0" fontId="2" fillId="13" borderId="0" xfId="0" applyFont="1" applyFill="1"/>
    <xf numFmtId="16" fontId="0" fillId="0" borderId="0" xfId="0" applyNumberFormat="1"/>
    <xf numFmtId="0" fontId="15" fillId="0" borderId="0" xfId="0" applyFont="1"/>
    <xf numFmtId="3" fontId="0" fillId="0" borderId="0" xfId="0" applyNumberFormat="1"/>
    <xf numFmtId="165" fontId="0" fillId="0" borderId="0" xfId="0" applyNumberFormat="1"/>
    <xf numFmtId="166" fontId="0" fillId="0" borderId="0" xfId="0" applyNumberFormat="1"/>
    <xf numFmtId="0" fontId="0" fillId="0" borderId="0" xfId="0" quotePrefix="1"/>
    <xf numFmtId="0" fontId="2" fillId="0" borderId="0" xfId="0" applyFont="1"/>
    <xf numFmtId="9" fontId="0" fillId="0" borderId="0" xfId="1" applyNumberFormat="1" applyFont="1"/>
    <xf numFmtId="0" fontId="2" fillId="3" borderId="0" xfId="0" applyFont="1" applyFill="1" applyAlignment="1">
      <alignment horizontal="center"/>
    </xf>
    <xf numFmtId="0" fontId="14" fillId="12" borderId="0" xfId="0" applyFont="1" applyFill="1" applyAlignment="1">
      <alignment horizontal="center"/>
    </xf>
    <xf numFmtId="0" fontId="2" fillId="0" borderId="0" xfId="0" applyFont="1" applyAlignment="1">
      <alignment horizontal="center"/>
    </xf>
    <xf numFmtId="0" fontId="2" fillId="13" borderId="0" xfId="0" applyFont="1" applyFill="1" applyAlignment="1">
      <alignment horizontal="center"/>
    </xf>
    <xf numFmtId="0" fontId="8" fillId="6" borderId="0" xfId="0" applyFont="1" applyFill="1" applyAlignment="1">
      <alignment horizontal="left" vertical="top" wrapText="1"/>
    </xf>
    <xf numFmtId="0" fontId="4" fillId="6" borderId="0" xfId="0" applyFont="1" applyFill="1" applyAlignment="1">
      <alignment horizontal="left" vertical="top" wrapText="1"/>
    </xf>
    <xf numFmtId="0" fontId="4" fillId="6" borderId="0" xfId="0" applyFont="1" applyFill="1" applyAlignment="1">
      <alignment horizontal="left" vertical="center" wrapText="1"/>
    </xf>
    <xf numFmtId="0" fontId="3" fillId="7" borderId="0" xfId="0" applyFont="1" applyFill="1" applyAlignment="1">
      <alignment horizontal="center" vertical="center"/>
    </xf>
    <xf numFmtId="0" fontId="12" fillId="8" borderId="0" xfId="0" applyFont="1" applyFill="1" applyAlignment="1">
      <alignment horizontal="center" vertical="center"/>
    </xf>
    <xf numFmtId="0" fontId="5" fillId="9" borderId="0" xfId="0" applyFont="1" applyFill="1" applyAlignment="1">
      <alignment horizontal="left" vertical="center"/>
    </xf>
    <xf numFmtId="0" fontId="6" fillId="9" borderId="0" xfId="0" applyFont="1" applyFill="1" applyAlignment="1">
      <alignment horizontal="left" vertical="center"/>
    </xf>
    <xf numFmtId="1" fontId="0" fillId="0" borderId="0" xfId="0" applyNumberFormat="1"/>
  </cellXfs>
  <cellStyles count="2">
    <cellStyle name="Normal" xfId="0" builtinId="0"/>
    <cellStyle name="Percent" xfId="1" builtinId="5"/>
  </cellStyles>
  <dxfs count="10">
    <dxf>
      <numFmt numFmtId="166" formatCode="[$£-809]#,##0.00"/>
    </dxf>
    <dxf>
      <numFmt numFmtId="165" formatCode="0.0"/>
    </dxf>
    <dxf>
      <numFmt numFmtId="3" formatCode="#,##0"/>
    </dxf>
    <dxf>
      <numFmt numFmtId="2" formatCode="0.00"/>
    </dxf>
    <dxf>
      <numFmt numFmtId="0" formatCode="General"/>
    </dxf>
    <dxf>
      <numFmt numFmtId="0" formatCode="General"/>
    </dxf>
    <dxf>
      <numFmt numFmtId="0" formatCode="General"/>
    </dxf>
    <dxf>
      <numFmt numFmtId="0" formatCode="General"/>
    </dxf>
    <dxf>
      <font>
        <b/>
        <color theme="1"/>
      </font>
      <border>
        <bottom style="thin">
          <color theme="4"/>
        </bottom>
        <vertical/>
        <horizontal/>
      </border>
    </dxf>
    <dxf>
      <font>
        <color theme="1"/>
      </font>
      <fill>
        <patternFill patternType="none">
          <bgColor auto="1"/>
        </patternFill>
      </fill>
      <border diagonalUp="0" diagonalDown="0">
        <left/>
        <right/>
        <top/>
        <bottom/>
        <vertical/>
        <horizontal/>
      </border>
    </dxf>
  </dxfs>
  <tableStyles count="1" defaultTableStyle="TableStyleMedium2" defaultPivotStyle="PivotStyleLight16">
    <tableStyle name="Custom_Pill_Style" pivot="0" table="0" count="10" xr9:uid="{235FEB5D-E14C-4E71-BA58-8A0B4A918F4F}">
      <tableStyleElement type="wholeTable" dxfId="9"/>
      <tableStyleElement type="headerRow" dxfId="8"/>
    </tableStyle>
  </tableStyles>
  <colors>
    <mruColors>
      <color rgb="FFC5C8D9"/>
      <color rgb="FFCAC8CC"/>
      <color rgb="FF000000"/>
      <color rgb="FFE0615B"/>
      <color rgb="FF18384A"/>
      <color rgb="FFFF3300"/>
      <color rgb="FFF3F3F3"/>
      <color rgb="FFD9D9D9"/>
      <color rgb="FFF5F6F8"/>
      <color rgb="FFFFFFFF"/>
    </mruColors>
  </colors>
  <extLst>
    <ext xmlns:x14="http://schemas.microsoft.com/office/spreadsheetml/2009/9/main" uri="{46F421CA-312F-682f-3DD2-61675219B42D}">
      <x14:dxfs count="8">
        <dxf>
          <font>
            <color rgb="FF000000"/>
          </font>
          <fill>
            <patternFill patternType="none">
              <fgColor auto="1"/>
              <bgColor auto="1"/>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none">
              <fgColor auto="1"/>
              <bgColor auto="1"/>
            </patternFill>
          </fill>
          <border diagonalUp="0" diagonalDown="0">
            <left/>
            <right/>
            <top/>
            <bottom/>
            <vertical/>
            <horizontal/>
          </border>
        </dxf>
        <dxf>
          <font>
            <color rgb="FF000000"/>
          </font>
          <fill>
            <patternFill patternType="none">
              <fgColor auto="1"/>
              <bgColor auto="1"/>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theme="4" tint="0.59999389629810485"/>
              <bgColor rgb="FF1A3644"/>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color theme="2" tint="-0.24994659260841701"/>
          </font>
          <fill>
            <patternFill patternType="solid">
              <fgColor rgb="FFFFFFFF"/>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ustom_Pill_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styles" Target="styles.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powerPivotData" Target="model/item.data"/><Relationship Id="rId34" Type="http://schemas.openxmlformats.org/officeDocument/2006/relationships/customXml" Target="../customXml/item12.xml"/><Relationship Id="rId42" Type="http://schemas.openxmlformats.org/officeDocument/2006/relationships/customXml" Target="../customXml/item20.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 Type="http://schemas.openxmlformats.org/officeDocument/2006/relationships/pivotCacheDefinition" Target="pivotCache/pivotCacheDefinition1.xml"/><Relationship Id="rId15" Type="http://schemas.microsoft.com/office/2007/relationships/slicerCache" Target="slicerCaches/slicerCache2.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pivotCacheDefinition" Target="pivotCache/pivotCacheDefinition6.xml"/><Relationship Id="rId19" Type="http://schemas.openxmlformats.org/officeDocument/2006/relationships/sharedStrings" Target="sharedStrings.xml"/><Relationship Id="rId31" Type="http://schemas.openxmlformats.org/officeDocument/2006/relationships/customXml" Target="../customXml/item9.xml"/><Relationship Id="rId44" Type="http://schemas.openxmlformats.org/officeDocument/2006/relationships/customXml" Target="../customXml/item22.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microsoft.com/office/2007/relationships/slicerCache" Target="slicerCaches/slicerCache1.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connections" Target="connections.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microsoft.com/office/2006/relationships/vbaProject" Target="vbaProject.bin"/><Relationship Id="rId20" Type="http://schemas.openxmlformats.org/officeDocument/2006/relationships/sheetMetadata" Target="metadata.xml"/><Relationship Id="rId41"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KE"/>
        </a:p>
      </c:txPr>
    </c:title>
    <c:autoTitleDeleted val="0"/>
    <c:plotArea>
      <c:layout/>
      <c:scatterChart>
        <c:scatterStyle val="lineMarker"/>
        <c:varyColors val="0"/>
        <c:ser>
          <c:idx val="0"/>
          <c:order val="0"/>
          <c:tx>
            <c:v>Price vs Rating</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0"/>
            <c:trendlineLbl>
              <c:layout>
                <c:manualLayout>
                  <c:x val="1.8788276465441821E-4"/>
                  <c:y val="-4.291885389326334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trendlineLbl>
          </c:trendline>
          <c:xVal>
            <c:numRef>
              <c:f>'Raw Data'!$D$2:$D$1001</c:f>
              <c:numCache>
                <c:formatCode>General</c:formatCode>
                <c:ptCount val="1000"/>
                <c:pt idx="0">
                  <c:v>4</c:v>
                </c:pt>
                <c:pt idx="1">
                  <c:v>5</c:v>
                </c:pt>
                <c:pt idx="2">
                  <c:v>4</c:v>
                </c:pt>
                <c:pt idx="3">
                  <c:v>5</c:v>
                </c:pt>
                <c:pt idx="4">
                  <c:v>4</c:v>
                </c:pt>
                <c:pt idx="5">
                  <c:v>5</c:v>
                </c:pt>
                <c:pt idx="6">
                  <c:v>4</c:v>
                </c:pt>
                <c:pt idx="7">
                  <c:v>1</c:v>
                </c:pt>
                <c:pt idx="8">
                  <c:v>4</c:v>
                </c:pt>
                <c:pt idx="9">
                  <c:v>4</c:v>
                </c:pt>
                <c:pt idx="10">
                  <c:v>5</c:v>
                </c:pt>
                <c:pt idx="11">
                  <c:v>5</c:v>
                </c:pt>
                <c:pt idx="12">
                  <c:v>4</c:v>
                </c:pt>
                <c:pt idx="13">
                  <c:v>2</c:v>
                </c:pt>
                <c:pt idx="14">
                  <c:v>4</c:v>
                </c:pt>
                <c:pt idx="15">
                  <c:v>4</c:v>
                </c:pt>
                <c:pt idx="16">
                  <c:v>2</c:v>
                </c:pt>
                <c:pt idx="17">
                  <c:v>5</c:v>
                </c:pt>
                <c:pt idx="18">
                  <c:v>4</c:v>
                </c:pt>
                <c:pt idx="19">
                  <c:v>4</c:v>
                </c:pt>
                <c:pt idx="20">
                  <c:v>3</c:v>
                </c:pt>
                <c:pt idx="21">
                  <c:v>5</c:v>
                </c:pt>
                <c:pt idx="22">
                  <c:v>5</c:v>
                </c:pt>
                <c:pt idx="23">
                  <c:v>4</c:v>
                </c:pt>
                <c:pt idx="24">
                  <c:v>4</c:v>
                </c:pt>
                <c:pt idx="25">
                  <c:v>5</c:v>
                </c:pt>
                <c:pt idx="26">
                  <c:v>3</c:v>
                </c:pt>
                <c:pt idx="27">
                  <c:v>5</c:v>
                </c:pt>
                <c:pt idx="28">
                  <c:v>5</c:v>
                </c:pt>
                <c:pt idx="29">
                  <c:v>3</c:v>
                </c:pt>
                <c:pt idx="30">
                  <c:v>3</c:v>
                </c:pt>
                <c:pt idx="31">
                  <c:v>4</c:v>
                </c:pt>
                <c:pt idx="32">
                  <c:v>5</c:v>
                </c:pt>
                <c:pt idx="33">
                  <c:v>3</c:v>
                </c:pt>
                <c:pt idx="34">
                  <c:v>5</c:v>
                </c:pt>
                <c:pt idx="35">
                  <c:v>5</c:v>
                </c:pt>
                <c:pt idx="36">
                  <c:v>4</c:v>
                </c:pt>
                <c:pt idx="37">
                  <c:v>1</c:v>
                </c:pt>
                <c:pt idx="38">
                  <c:v>3</c:v>
                </c:pt>
                <c:pt idx="39">
                  <c:v>3</c:v>
                </c:pt>
                <c:pt idx="40">
                  <c:v>5</c:v>
                </c:pt>
                <c:pt idx="41">
                  <c:v>1</c:v>
                </c:pt>
                <c:pt idx="42">
                  <c:v>5</c:v>
                </c:pt>
                <c:pt idx="43">
                  <c:v>4</c:v>
                </c:pt>
                <c:pt idx="44">
                  <c:v>4</c:v>
                </c:pt>
                <c:pt idx="45">
                  <c:v>5</c:v>
                </c:pt>
                <c:pt idx="46">
                  <c:v>3</c:v>
                </c:pt>
                <c:pt idx="47">
                  <c:v>3</c:v>
                </c:pt>
                <c:pt idx="48">
                  <c:v>3</c:v>
                </c:pt>
                <c:pt idx="49">
                  <c:v>5</c:v>
                </c:pt>
                <c:pt idx="50">
                  <c:v>3</c:v>
                </c:pt>
                <c:pt idx="51">
                  <c:v>3</c:v>
                </c:pt>
                <c:pt idx="52">
                  <c:v>5</c:v>
                </c:pt>
                <c:pt idx="53">
                  <c:v>4</c:v>
                </c:pt>
                <c:pt idx="54">
                  <c:v>3</c:v>
                </c:pt>
                <c:pt idx="55">
                  <c:v>4</c:v>
                </c:pt>
                <c:pt idx="56">
                  <c:v>3</c:v>
                </c:pt>
                <c:pt idx="57">
                  <c:v>5</c:v>
                </c:pt>
                <c:pt idx="58">
                  <c:v>3</c:v>
                </c:pt>
                <c:pt idx="59">
                  <c:v>4</c:v>
                </c:pt>
                <c:pt idx="60">
                  <c:v>4</c:v>
                </c:pt>
                <c:pt idx="61">
                  <c:v>4</c:v>
                </c:pt>
                <c:pt idx="62">
                  <c:v>2</c:v>
                </c:pt>
                <c:pt idx="63">
                  <c:v>2</c:v>
                </c:pt>
                <c:pt idx="64">
                  <c:v>1</c:v>
                </c:pt>
                <c:pt idx="65">
                  <c:v>5</c:v>
                </c:pt>
                <c:pt idx="66">
                  <c:v>5</c:v>
                </c:pt>
                <c:pt idx="67">
                  <c:v>5</c:v>
                </c:pt>
                <c:pt idx="68">
                  <c:v>4</c:v>
                </c:pt>
                <c:pt idx="69">
                  <c:v>4</c:v>
                </c:pt>
                <c:pt idx="70">
                  <c:v>5</c:v>
                </c:pt>
                <c:pt idx="71">
                  <c:v>4</c:v>
                </c:pt>
                <c:pt idx="72">
                  <c:v>4</c:v>
                </c:pt>
                <c:pt idx="73">
                  <c:v>4</c:v>
                </c:pt>
                <c:pt idx="74">
                  <c:v>3</c:v>
                </c:pt>
                <c:pt idx="75">
                  <c:v>5</c:v>
                </c:pt>
                <c:pt idx="76">
                  <c:v>5</c:v>
                </c:pt>
                <c:pt idx="77">
                  <c:v>4</c:v>
                </c:pt>
                <c:pt idx="78">
                  <c:v>4</c:v>
                </c:pt>
                <c:pt idx="79">
                  <c:v>4</c:v>
                </c:pt>
                <c:pt idx="80">
                  <c:v>5</c:v>
                </c:pt>
                <c:pt idx="81">
                  <c:v>4</c:v>
                </c:pt>
                <c:pt idx="82">
                  <c:v>4</c:v>
                </c:pt>
                <c:pt idx="83">
                  <c:v>5</c:v>
                </c:pt>
                <c:pt idx="84">
                  <c:v>4</c:v>
                </c:pt>
                <c:pt idx="85">
                  <c:v>4</c:v>
                </c:pt>
                <c:pt idx="86">
                  <c:v>3</c:v>
                </c:pt>
                <c:pt idx="87">
                  <c:v>3</c:v>
                </c:pt>
                <c:pt idx="88">
                  <c:v>4</c:v>
                </c:pt>
                <c:pt idx="89">
                  <c:v>4</c:v>
                </c:pt>
                <c:pt idx="90">
                  <c:v>3</c:v>
                </c:pt>
                <c:pt idx="91">
                  <c:v>5</c:v>
                </c:pt>
                <c:pt idx="92">
                  <c:v>2</c:v>
                </c:pt>
                <c:pt idx="93">
                  <c:v>3</c:v>
                </c:pt>
                <c:pt idx="94">
                  <c:v>4</c:v>
                </c:pt>
                <c:pt idx="95">
                  <c:v>5</c:v>
                </c:pt>
                <c:pt idx="96">
                  <c:v>4</c:v>
                </c:pt>
                <c:pt idx="97">
                  <c:v>2</c:v>
                </c:pt>
                <c:pt idx="98">
                  <c:v>2</c:v>
                </c:pt>
                <c:pt idx="99">
                  <c:v>5</c:v>
                </c:pt>
                <c:pt idx="100">
                  <c:v>5</c:v>
                </c:pt>
                <c:pt idx="101">
                  <c:v>2</c:v>
                </c:pt>
                <c:pt idx="102">
                  <c:v>5</c:v>
                </c:pt>
                <c:pt idx="103">
                  <c:v>2</c:v>
                </c:pt>
                <c:pt idx="104">
                  <c:v>3</c:v>
                </c:pt>
                <c:pt idx="105">
                  <c:v>1</c:v>
                </c:pt>
                <c:pt idx="106">
                  <c:v>5</c:v>
                </c:pt>
                <c:pt idx="107">
                  <c:v>4</c:v>
                </c:pt>
                <c:pt idx="108">
                  <c:v>5</c:v>
                </c:pt>
                <c:pt idx="109">
                  <c:v>4</c:v>
                </c:pt>
                <c:pt idx="110">
                  <c:v>4</c:v>
                </c:pt>
                <c:pt idx="111">
                  <c:v>3</c:v>
                </c:pt>
                <c:pt idx="112">
                  <c:v>4</c:v>
                </c:pt>
                <c:pt idx="113">
                  <c:v>5</c:v>
                </c:pt>
                <c:pt idx="114">
                  <c:v>5</c:v>
                </c:pt>
                <c:pt idx="115">
                  <c:v>3</c:v>
                </c:pt>
                <c:pt idx="116">
                  <c:v>4</c:v>
                </c:pt>
                <c:pt idx="117">
                  <c:v>5</c:v>
                </c:pt>
                <c:pt idx="118">
                  <c:v>2</c:v>
                </c:pt>
                <c:pt idx="119">
                  <c:v>3</c:v>
                </c:pt>
                <c:pt idx="120">
                  <c:v>5</c:v>
                </c:pt>
                <c:pt idx="121">
                  <c:v>2</c:v>
                </c:pt>
                <c:pt idx="122">
                  <c:v>5</c:v>
                </c:pt>
                <c:pt idx="123">
                  <c:v>5</c:v>
                </c:pt>
                <c:pt idx="124">
                  <c:v>5</c:v>
                </c:pt>
                <c:pt idx="125">
                  <c:v>3</c:v>
                </c:pt>
                <c:pt idx="126">
                  <c:v>3</c:v>
                </c:pt>
                <c:pt idx="127">
                  <c:v>5</c:v>
                </c:pt>
                <c:pt idx="128">
                  <c:v>2</c:v>
                </c:pt>
                <c:pt idx="129">
                  <c:v>5</c:v>
                </c:pt>
                <c:pt idx="130">
                  <c:v>4</c:v>
                </c:pt>
                <c:pt idx="131">
                  <c:v>4</c:v>
                </c:pt>
                <c:pt idx="132">
                  <c:v>5</c:v>
                </c:pt>
                <c:pt idx="133">
                  <c:v>4</c:v>
                </c:pt>
                <c:pt idx="134">
                  <c:v>3</c:v>
                </c:pt>
                <c:pt idx="135">
                  <c:v>2</c:v>
                </c:pt>
                <c:pt idx="136">
                  <c:v>4</c:v>
                </c:pt>
                <c:pt idx="137">
                  <c:v>5</c:v>
                </c:pt>
                <c:pt idx="138">
                  <c:v>4</c:v>
                </c:pt>
                <c:pt idx="139">
                  <c:v>4</c:v>
                </c:pt>
                <c:pt idx="140">
                  <c:v>4</c:v>
                </c:pt>
                <c:pt idx="141">
                  <c:v>5</c:v>
                </c:pt>
                <c:pt idx="142">
                  <c:v>5</c:v>
                </c:pt>
                <c:pt idx="143">
                  <c:v>4</c:v>
                </c:pt>
                <c:pt idx="144">
                  <c:v>5</c:v>
                </c:pt>
                <c:pt idx="145">
                  <c:v>4</c:v>
                </c:pt>
                <c:pt idx="146">
                  <c:v>4</c:v>
                </c:pt>
                <c:pt idx="147">
                  <c:v>5</c:v>
                </c:pt>
                <c:pt idx="148">
                  <c:v>3</c:v>
                </c:pt>
                <c:pt idx="149">
                  <c:v>4</c:v>
                </c:pt>
                <c:pt idx="150">
                  <c:v>5</c:v>
                </c:pt>
                <c:pt idx="151">
                  <c:v>1</c:v>
                </c:pt>
                <c:pt idx="152">
                  <c:v>4</c:v>
                </c:pt>
                <c:pt idx="153">
                  <c:v>2</c:v>
                </c:pt>
                <c:pt idx="154">
                  <c:v>4</c:v>
                </c:pt>
                <c:pt idx="155">
                  <c:v>5</c:v>
                </c:pt>
                <c:pt idx="156">
                  <c:v>4</c:v>
                </c:pt>
                <c:pt idx="157">
                  <c:v>2</c:v>
                </c:pt>
                <c:pt idx="158">
                  <c:v>4</c:v>
                </c:pt>
                <c:pt idx="159">
                  <c:v>4</c:v>
                </c:pt>
                <c:pt idx="160">
                  <c:v>4</c:v>
                </c:pt>
                <c:pt idx="161">
                  <c:v>3</c:v>
                </c:pt>
                <c:pt idx="162">
                  <c:v>2</c:v>
                </c:pt>
                <c:pt idx="163">
                  <c:v>4</c:v>
                </c:pt>
                <c:pt idx="164">
                  <c:v>2</c:v>
                </c:pt>
                <c:pt idx="165">
                  <c:v>2</c:v>
                </c:pt>
                <c:pt idx="166">
                  <c:v>5</c:v>
                </c:pt>
                <c:pt idx="167">
                  <c:v>4</c:v>
                </c:pt>
                <c:pt idx="168">
                  <c:v>5</c:v>
                </c:pt>
                <c:pt idx="169">
                  <c:v>1</c:v>
                </c:pt>
                <c:pt idx="170">
                  <c:v>1</c:v>
                </c:pt>
                <c:pt idx="171">
                  <c:v>5</c:v>
                </c:pt>
                <c:pt idx="172">
                  <c:v>3</c:v>
                </c:pt>
                <c:pt idx="173">
                  <c:v>5</c:v>
                </c:pt>
                <c:pt idx="174">
                  <c:v>4</c:v>
                </c:pt>
                <c:pt idx="175">
                  <c:v>5</c:v>
                </c:pt>
                <c:pt idx="176">
                  <c:v>4</c:v>
                </c:pt>
                <c:pt idx="177">
                  <c:v>4</c:v>
                </c:pt>
                <c:pt idx="178">
                  <c:v>4</c:v>
                </c:pt>
                <c:pt idx="179">
                  <c:v>5</c:v>
                </c:pt>
                <c:pt idx="180">
                  <c:v>4</c:v>
                </c:pt>
                <c:pt idx="181">
                  <c:v>5</c:v>
                </c:pt>
                <c:pt idx="182">
                  <c:v>5</c:v>
                </c:pt>
                <c:pt idx="183">
                  <c:v>3</c:v>
                </c:pt>
                <c:pt idx="184">
                  <c:v>4</c:v>
                </c:pt>
                <c:pt idx="185">
                  <c:v>5</c:v>
                </c:pt>
                <c:pt idx="186">
                  <c:v>3</c:v>
                </c:pt>
                <c:pt idx="187">
                  <c:v>2</c:v>
                </c:pt>
                <c:pt idx="188">
                  <c:v>4</c:v>
                </c:pt>
                <c:pt idx="189">
                  <c:v>3</c:v>
                </c:pt>
                <c:pt idx="190">
                  <c:v>5</c:v>
                </c:pt>
                <c:pt idx="191">
                  <c:v>5</c:v>
                </c:pt>
                <c:pt idx="192">
                  <c:v>4</c:v>
                </c:pt>
                <c:pt idx="193">
                  <c:v>4</c:v>
                </c:pt>
                <c:pt idx="194">
                  <c:v>4</c:v>
                </c:pt>
                <c:pt idx="195">
                  <c:v>5</c:v>
                </c:pt>
                <c:pt idx="196">
                  <c:v>4</c:v>
                </c:pt>
                <c:pt idx="197">
                  <c:v>4</c:v>
                </c:pt>
                <c:pt idx="198">
                  <c:v>4</c:v>
                </c:pt>
                <c:pt idx="199">
                  <c:v>1</c:v>
                </c:pt>
                <c:pt idx="200">
                  <c:v>5</c:v>
                </c:pt>
                <c:pt idx="201">
                  <c:v>3</c:v>
                </c:pt>
                <c:pt idx="202">
                  <c:v>5</c:v>
                </c:pt>
                <c:pt idx="203">
                  <c:v>2</c:v>
                </c:pt>
                <c:pt idx="204">
                  <c:v>3</c:v>
                </c:pt>
                <c:pt idx="205">
                  <c:v>4</c:v>
                </c:pt>
                <c:pt idx="206">
                  <c:v>5</c:v>
                </c:pt>
                <c:pt idx="207">
                  <c:v>1</c:v>
                </c:pt>
                <c:pt idx="208">
                  <c:v>4</c:v>
                </c:pt>
                <c:pt idx="209">
                  <c:v>2</c:v>
                </c:pt>
                <c:pt idx="210">
                  <c:v>5</c:v>
                </c:pt>
                <c:pt idx="211">
                  <c:v>3</c:v>
                </c:pt>
                <c:pt idx="212">
                  <c:v>4</c:v>
                </c:pt>
                <c:pt idx="213">
                  <c:v>4</c:v>
                </c:pt>
                <c:pt idx="214">
                  <c:v>4</c:v>
                </c:pt>
                <c:pt idx="215">
                  <c:v>5</c:v>
                </c:pt>
                <c:pt idx="216">
                  <c:v>5</c:v>
                </c:pt>
                <c:pt idx="217">
                  <c:v>2</c:v>
                </c:pt>
                <c:pt idx="218">
                  <c:v>3</c:v>
                </c:pt>
                <c:pt idx="219">
                  <c:v>3</c:v>
                </c:pt>
                <c:pt idx="220">
                  <c:v>4</c:v>
                </c:pt>
                <c:pt idx="221">
                  <c:v>4</c:v>
                </c:pt>
                <c:pt idx="222">
                  <c:v>2</c:v>
                </c:pt>
                <c:pt idx="223">
                  <c:v>2</c:v>
                </c:pt>
                <c:pt idx="224">
                  <c:v>5</c:v>
                </c:pt>
                <c:pt idx="225">
                  <c:v>4</c:v>
                </c:pt>
                <c:pt idx="226">
                  <c:v>4</c:v>
                </c:pt>
                <c:pt idx="227">
                  <c:v>3</c:v>
                </c:pt>
                <c:pt idx="228">
                  <c:v>4</c:v>
                </c:pt>
                <c:pt idx="229">
                  <c:v>2</c:v>
                </c:pt>
                <c:pt idx="230">
                  <c:v>4</c:v>
                </c:pt>
                <c:pt idx="231">
                  <c:v>4</c:v>
                </c:pt>
                <c:pt idx="232">
                  <c:v>5</c:v>
                </c:pt>
                <c:pt idx="233">
                  <c:v>5</c:v>
                </c:pt>
                <c:pt idx="234">
                  <c:v>5</c:v>
                </c:pt>
                <c:pt idx="235">
                  <c:v>4</c:v>
                </c:pt>
                <c:pt idx="236">
                  <c:v>4</c:v>
                </c:pt>
                <c:pt idx="237">
                  <c:v>4</c:v>
                </c:pt>
                <c:pt idx="238">
                  <c:v>1</c:v>
                </c:pt>
                <c:pt idx="239">
                  <c:v>3</c:v>
                </c:pt>
                <c:pt idx="240">
                  <c:v>5</c:v>
                </c:pt>
                <c:pt idx="241">
                  <c:v>4</c:v>
                </c:pt>
                <c:pt idx="242">
                  <c:v>3</c:v>
                </c:pt>
                <c:pt idx="243">
                  <c:v>2</c:v>
                </c:pt>
                <c:pt idx="244">
                  <c:v>5</c:v>
                </c:pt>
                <c:pt idx="245">
                  <c:v>4</c:v>
                </c:pt>
                <c:pt idx="246">
                  <c:v>5</c:v>
                </c:pt>
                <c:pt idx="247">
                  <c:v>5</c:v>
                </c:pt>
                <c:pt idx="248">
                  <c:v>5</c:v>
                </c:pt>
                <c:pt idx="249">
                  <c:v>4</c:v>
                </c:pt>
                <c:pt idx="250">
                  <c:v>5</c:v>
                </c:pt>
                <c:pt idx="251">
                  <c:v>2</c:v>
                </c:pt>
                <c:pt idx="252">
                  <c:v>4</c:v>
                </c:pt>
                <c:pt idx="253">
                  <c:v>2</c:v>
                </c:pt>
                <c:pt idx="254">
                  <c:v>5</c:v>
                </c:pt>
                <c:pt idx="255">
                  <c:v>4</c:v>
                </c:pt>
                <c:pt idx="256">
                  <c:v>3</c:v>
                </c:pt>
                <c:pt idx="257">
                  <c:v>5</c:v>
                </c:pt>
                <c:pt idx="258">
                  <c:v>5</c:v>
                </c:pt>
                <c:pt idx="259">
                  <c:v>5</c:v>
                </c:pt>
                <c:pt idx="260">
                  <c:v>4</c:v>
                </c:pt>
                <c:pt idx="261">
                  <c:v>4</c:v>
                </c:pt>
                <c:pt idx="262">
                  <c:v>4</c:v>
                </c:pt>
                <c:pt idx="263">
                  <c:v>1</c:v>
                </c:pt>
                <c:pt idx="264">
                  <c:v>3</c:v>
                </c:pt>
                <c:pt idx="265">
                  <c:v>4</c:v>
                </c:pt>
                <c:pt idx="266">
                  <c:v>1</c:v>
                </c:pt>
                <c:pt idx="267">
                  <c:v>3</c:v>
                </c:pt>
                <c:pt idx="268">
                  <c:v>2</c:v>
                </c:pt>
                <c:pt idx="269">
                  <c:v>4</c:v>
                </c:pt>
                <c:pt idx="270">
                  <c:v>5</c:v>
                </c:pt>
                <c:pt idx="271">
                  <c:v>4</c:v>
                </c:pt>
                <c:pt idx="272">
                  <c:v>4</c:v>
                </c:pt>
                <c:pt idx="273">
                  <c:v>3</c:v>
                </c:pt>
                <c:pt idx="274">
                  <c:v>5</c:v>
                </c:pt>
                <c:pt idx="275">
                  <c:v>4</c:v>
                </c:pt>
                <c:pt idx="276">
                  <c:v>4</c:v>
                </c:pt>
                <c:pt idx="277">
                  <c:v>5</c:v>
                </c:pt>
                <c:pt idx="278">
                  <c:v>5</c:v>
                </c:pt>
                <c:pt idx="279">
                  <c:v>5</c:v>
                </c:pt>
                <c:pt idx="280">
                  <c:v>4</c:v>
                </c:pt>
                <c:pt idx="281">
                  <c:v>5</c:v>
                </c:pt>
                <c:pt idx="282">
                  <c:v>5</c:v>
                </c:pt>
                <c:pt idx="283">
                  <c:v>4</c:v>
                </c:pt>
                <c:pt idx="284">
                  <c:v>5</c:v>
                </c:pt>
                <c:pt idx="285">
                  <c:v>2</c:v>
                </c:pt>
                <c:pt idx="286">
                  <c:v>4</c:v>
                </c:pt>
                <c:pt idx="287">
                  <c:v>3</c:v>
                </c:pt>
                <c:pt idx="288">
                  <c:v>2</c:v>
                </c:pt>
                <c:pt idx="289">
                  <c:v>5</c:v>
                </c:pt>
                <c:pt idx="290">
                  <c:v>5</c:v>
                </c:pt>
                <c:pt idx="291">
                  <c:v>4</c:v>
                </c:pt>
                <c:pt idx="292">
                  <c:v>3</c:v>
                </c:pt>
                <c:pt idx="293">
                  <c:v>5</c:v>
                </c:pt>
                <c:pt idx="294">
                  <c:v>3</c:v>
                </c:pt>
                <c:pt idx="295">
                  <c:v>5</c:v>
                </c:pt>
                <c:pt idx="296">
                  <c:v>5</c:v>
                </c:pt>
                <c:pt idx="297">
                  <c:v>4</c:v>
                </c:pt>
                <c:pt idx="298">
                  <c:v>3</c:v>
                </c:pt>
                <c:pt idx="299">
                  <c:v>3</c:v>
                </c:pt>
                <c:pt idx="300">
                  <c:v>5</c:v>
                </c:pt>
                <c:pt idx="301">
                  <c:v>3</c:v>
                </c:pt>
                <c:pt idx="302">
                  <c:v>5</c:v>
                </c:pt>
                <c:pt idx="303">
                  <c:v>4</c:v>
                </c:pt>
                <c:pt idx="304">
                  <c:v>4</c:v>
                </c:pt>
                <c:pt idx="305">
                  <c:v>1</c:v>
                </c:pt>
                <c:pt idx="306">
                  <c:v>4</c:v>
                </c:pt>
                <c:pt idx="307">
                  <c:v>5</c:v>
                </c:pt>
                <c:pt idx="308">
                  <c:v>5</c:v>
                </c:pt>
                <c:pt idx="309">
                  <c:v>5</c:v>
                </c:pt>
                <c:pt idx="310">
                  <c:v>5</c:v>
                </c:pt>
                <c:pt idx="311">
                  <c:v>4</c:v>
                </c:pt>
                <c:pt idx="312">
                  <c:v>1</c:v>
                </c:pt>
                <c:pt idx="313">
                  <c:v>5</c:v>
                </c:pt>
                <c:pt idx="314">
                  <c:v>5</c:v>
                </c:pt>
                <c:pt idx="315">
                  <c:v>4</c:v>
                </c:pt>
                <c:pt idx="316">
                  <c:v>4</c:v>
                </c:pt>
                <c:pt idx="317">
                  <c:v>5</c:v>
                </c:pt>
                <c:pt idx="318">
                  <c:v>5</c:v>
                </c:pt>
                <c:pt idx="319">
                  <c:v>3</c:v>
                </c:pt>
                <c:pt idx="320">
                  <c:v>4</c:v>
                </c:pt>
                <c:pt idx="321">
                  <c:v>4</c:v>
                </c:pt>
                <c:pt idx="322">
                  <c:v>5</c:v>
                </c:pt>
                <c:pt idx="323">
                  <c:v>5</c:v>
                </c:pt>
                <c:pt idx="324">
                  <c:v>5</c:v>
                </c:pt>
                <c:pt idx="325">
                  <c:v>4</c:v>
                </c:pt>
                <c:pt idx="326">
                  <c:v>3</c:v>
                </c:pt>
                <c:pt idx="327">
                  <c:v>1</c:v>
                </c:pt>
                <c:pt idx="328">
                  <c:v>5</c:v>
                </c:pt>
                <c:pt idx="329">
                  <c:v>5</c:v>
                </c:pt>
                <c:pt idx="330">
                  <c:v>2</c:v>
                </c:pt>
                <c:pt idx="331">
                  <c:v>2</c:v>
                </c:pt>
                <c:pt idx="332">
                  <c:v>5</c:v>
                </c:pt>
                <c:pt idx="333">
                  <c:v>5</c:v>
                </c:pt>
                <c:pt idx="334">
                  <c:v>5</c:v>
                </c:pt>
                <c:pt idx="335">
                  <c:v>3</c:v>
                </c:pt>
                <c:pt idx="336">
                  <c:v>5</c:v>
                </c:pt>
                <c:pt idx="337">
                  <c:v>3</c:v>
                </c:pt>
                <c:pt idx="338">
                  <c:v>1</c:v>
                </c:pt>
                <c:pt idx="339">
                  <c:v>4</c:v>
                </c:pt>
                <c:pt idx="340">
                  <c:v>3</c:v>
                </c:pt>
                <c:pt idx="341">
                  <c:v>5</c:v>
                </c:pt>
                <c:pt idx="342">
                  <c:v>4</c:v>
                </c:pt>
                <c:pt idx="343">
                  <c:v>4</c:v>
                </c:pt>
                <c:pt idx="344">
                  <c:v>3</c:v>
                </c:pt>
                <c:pt idx="345">
                  <c:v>4</c:v>
                </c:pt>
                <c:pt idx="346">
                  <c:v>3</c:v>
                </c:pt>
                <c:pt idx="347">
                  <c:v>5</c:v>
                </c:pt>
                <c:pt idx="348">
                  <c:v>5</c:v>
                </c:pt>
                <c:pt idx="349">
                  <c:v>4</c:v>
                </c:pt>
                <c:pt idx="350">
                  <c:v>4</c:v>
                </c:pt>
                <c:pt idx="351">
                  <c:v>4</c:v>
                </c:pt>
                <c:pt idx="352">
                  <c:v>5</c:v>
                </c:pt>
                <c:pt idx="353">
                  <c:v>4</c:v>
                </c:pt>
                <c:pt idx="354">
                  <c:v>5</c:v>
                </c:pt>
                <c:pt idx="355">
                  <c:v>4</c:v>
                </c:pt>
                <c:pt idx="356">
                  <c:v>5</c:v>
                </c:pt>
                <c:pt idx="357">
                  <c:v>4</c:v>
                </c:pt>
                <c:pt idx="358">
                  <c:v>4</c:v>
                </c:pt>
                <c:pt idx="359">
                  <c:v>4</c:v>
                </c:pt>
                <c:pt idx="360">
                  <c:v>5</c:v>
                </c:pt>
                <c:pt idx="361">
                  <c:v>3</c:v>
                </c:pt>
                <c:pt idx="362">
                  <c:v>5</c:v>
                </c:pt>
                <c:pt idx="363">
                  <c:v>2</c:v>
                </c:pt>
                <c:pt idx="364">
                  <c:v>4</c:v>
                </c:pt>
                <c:pt idx="365">
                  <c:v>4</c:v>
                </c:pt>
                <c:pt idx="366">
                  <c:v>2</c:v>
                </c:pt>
                <c:pt idx="367">
                  <c:v>3</c:v>
                </c:pt>
                <c:pt idx="368">
                  <c:v>5</c:v>
                </c:pt>
                <c:pt idx="369">
                  <c:v>5</c:v>
                </c:pt>
                <c:pt idx="370">
                  <c:v>3</c:v>
                </c:pt>
                <c:pt idx="371">
                  <c:v>5</c:v>
                </c:pt>
                <c:pt idx="372">
                  <c:v>5</c:v>
                </c:pt>
                <c:pt idx="373">
                  <c:v>2</c:v>
                </c:pt>
                <c:pt idx="374">
                  <c:v>4</c:v>
                </c:pt>
                <c:pt idx="375">
                  <c:v>2</c:v>
                </c:pt>
                <c:pt idx="376">
                  <c:v>5</c:v>
                </c:pt>
                <c:pt idx="377">
                  <c:v>2</c:v>
                </c:pt>
                <c:pt idx="378">
                  <c:v>4</c:v>
                </c:pt>
                <c:pt idx="379">
                  <c:v>5</c:v>
                </c:pt>
                <c:pt idx="380">
                  <c:v>1</c:v>
                </c:pt>
                <c:pt idx="381">
                  <c:v>5</c:v>
                </c:pt>
                <c:pt idx="382">
                  <c:v>1</c:v>
                </c:pt>
                <c:pt idx="383">
                  <c:v>5</c:v>
                </c:pt>
                <c:pt idx="384">
                  <c:v>5</c:v>
                </c:pt>
                <c:pt idx="385">
                  <c:v>4</c:v>
                </c:pt>
                <c:pt idx="386">
                  <c:v>4</c:v>
                </c:pt>
                <c:pt idx="387">
                  <c:v>4</c:v>
                </c:pt>
                <c:pt idx="388">
                  <c:v>2</c:v>
                </c:pt>
                <c:pt idx="389">
                  <c:v>5</c:v>
                </c:pt>
                <c:pt idx="390">
                  <c:v>2</c:v>
                </c:pt>
                <c:pt idx="391">
                  <c:v>2</c:v>
                </c:pt>
                <c:pt idx="392">
                  <c:v>5</c:v>
                </c:pt>
                <c:pt idx="393">
                  <c:v>4</c:v>
                </c:pt>
                <c:pt idx="394">
                  <c:v>5</c:v>
                </c:pt>
                <c:pt idx="395">
                  <c:v>5</c:v>
                </c:pt>
                <c:pt idx="396">
                  <c:v>1</c:v>
                </c:pt>
                <c:pt idx="397">
                  <c:v>5</c:v>
                </c:pt>
                <c:pt idx="398">
                  <c:v>5</c:v>
                </c:pt>
                <c:pt idx="399">
                  <c:v>4</c:v>
                </c:pt>
                <c:pt idx="400">
                  <c:v>4</c:v>
                </c:pt>
                <c:pt idx="401">
                  <c:v>2</c:v>
                </c:pt>
                <c:pt idx="402">
                  <c:v>2</c:v>
                </c:pt>
                <c:pt idx="403">
                  <c:v>5</c:v>
                </c:pt>
                <c:pt idx="404">
                  <c:v>5</c:v>
                </c:pt>
                <c:pt idx="405">
                  <c:v>4</c:v>
                </c:pt>
                <c:pt idx="406">
                  <c:v>4</c:v>
                </c:pt>
                <c:pt idx="407">
                  <c:v>5</c:v>
                </c:pt>
                <c:pt idx="408">
                  <c:v>4</c:v>
                </c:pt>
                <c:pt idx="409">
                  <c:v>5</c:v>
                </c:pt>
                <c:pt idx="410">
                  <c:v>4</c:v>
                </c:pt>
                <c:pt idx="411">
                  <c:v>4</c:v>
                </c:pt>
                <c:pt idx="412">
                  <c:v>4</c:v>
                </c:pt>
                <c:pt idx="413">
                  <c:v>2</c:v>
                </c:pt>
                <c:pt idx="414">
                  <c:v>4</c:v>
                </c:pt>
                <c:pt idx="415">
                  <c:v>4</c:v>
                </c:pt>
                <c:pt idx="416">
                  <c:v>4</c:v>
                </c:pt>
                <c:pt idx="417">
                  <c:v>5</c:v>
                </c:pt>
                <c:pt idx="418">
                  <c:v>4</c:v>
                </c:pt>
                <c:pt idx="419">
                  <c:v>3</c:v>
                </c:pt>
                <c:pt idx="420">
                  <c:v>5</c:v>
                </c:pt>
                <c:pt idx="421">
                  <c:v>4</c:v>
                </c:pt>
                <c:pt idx="422">
                  <c:v>4</c:v>
                </c:pt>
                <c:pt idx="423">
                  <c:v>5</c:v>
                </c:pt>
                <c:pt idx="424">
                  <c:v>3</c:v>
                </c:pt>
                <c:pt idx="425">
                  <c:v>5</c:v>
                </c:pt>
                <c:pt idx="426">
                  <c:v>2</c:v>
                </c:pt>
                <c:pt idx="427">
                  <c:v>5</c:v>
                </c:pt>
                <c:pt idx="428">
                  <c:v>1</c:v>
                </c:pt>
                <c:pt idx="429">
                  <c:v>4</c:v>
                </c:pt>
                <c:pt idx="430">
                  <c:v>4</c:v>
                </c:pt>
                <c:pt idx="431">
                  <c:v>3</c:v>
                </c:pt>
                <c:pt idx="432">
                  <c:v>3</c:v>
                </c:pt>
                <c:pt idx="433">
                  <c:v>5</c:v>
                </c:pt>
                <c:pt idx="434">
                  <c:v>4</c:v>
                </c:pt>
                <c:pt idx="435">
                  <c:v>3</c:v>
                </c:pt>
                <c:pt idx="436">
                  <c:v>5</c:v>
                </c:pt>
                <c:pt idx="437">
                  <c:v>5</c:v>
                </c:pt>
                <c:pt idx="438">
                  <c:v>4</c:v>
                </c:pt>
                <c:pt idx="439">
                  <c:v>4</c:v>
                </c:pt>
                <c:pt idx="440">
                  <c:v>4</c:v>
                </c:pt>
                <c:pt idx="441">
                  <c:v>2</c:v>
                </c:pt>
                <c:pt idx="442">
                  <c:v>4</c:v>
                </c:pt>
                <c:pt idx="443">
                  <c:v>5</c:v>
                </c:pt>
                <c:pt idx="444">
                  <c:v>4</c:v>
                </c:pt>
                <c:pt idx="445">
                  <c:v>5</c:v>
                </c:pt>
                <c:pt idx="446">
                  <c:v>4</c:v>
                </c:pt>
                <c:pt idx="447">
                  <c:v>1</c:v>
                </c:pt>
                <c:pt idx="448">
                  <c:v>2</c:v>
                </c:pt>
                <c:pt idx="449">
                  <c:v>3</c:v>
                </c:pt>
                <c:pt idx="450">
                  <c:v>4</c:v>
                </c:pt>
                <c:pt idx="451">
                  <c:v>4</c:v>
                </c:pt>
                <c:pt idx="452">
                  <c:v>5</c:v>
                </c:pt>
                <c:pt idx="453">
                  <c:v>5</c:v>
                </c:pt>
                <c:pt idx="454">
                  <c:v>4</c:v>
                </c:pt>
                <c:pt idx="455">
                  <c:v>3</c:v>
                </c:pt>
                <c:pt idx="456">
                  <c:v>5</c:v>
                </c:pt>
                <c:pt idx="457">
                  <c:v>5</c:v>
                </c:pt>
                <c:pt idx="458">
                  <c:v>3</c:v>
                </c:pt>
                <c:pt idx="459">
                  <c:v>5</c:v>
                </c:pt>
                <c:pt idx="460">
                  <c:v>4</c:v>
                </c:pt>
                <c:pt idx="461">
                  <c:v>5</c:v>
                </c:pt>
                <c:pt idx="462">
                  <c:v>5</c:v>
                </c:pt>
                <c:pt idx="463">
                  <c:v>3</c:v>
                </c:pt>
                <c:pt idx="464">
                  <c:v>1</c:v>
                </c:pt>
                <c:pt idx="465">
                  <c:v>5</c:v>
                </c:pt>
                <c:pt idx="466">
                  <c:v>2</c:v>
                </c:pt>
                <c:pt idx="467">
                  <c:v>5</c:v>
                </c:pt>
                <c:pt idx="468">
                  <c:v>1</c:v>
                </c:pt>
                <c:pt idx="469">
                  <c:v>5</c:v>
                </c:pt>
                <c:pt idx="470">
                  <c:v>3</c:v>
                </c:pt>
                <c:pt idx="471">
                  <c:v>2</c:v>
                </c:pt>
                <c:pt idx="472">
                  <c:v>2</c:v>
                </c:pt>
                <c:pt idx="473">
                  <c:v>1</c:v>
                </c:pt>
                <c:pt idx="474">
                  <c:v>5</c:v>
                </c:pt>
                <c:pt idx="475">
                  <c:v>5</c:v>
                </c:pt>
                <c:pt idx="476">
                  <c:v>2</c:v>
                </c:pt>
                <c:pt idx="477">
                  <c:v>4</c:v>
                </c:pt>
                <c:pt idx="478">
                  <c:v>5</c:v>
                </c:pt>
                <c:pt idx="479">
                  <c:v>3</c:v>
                </c:pt>
                <c:pt idx="480">
                  <c:v>2</c:v>
                </c:pt>
                <c:pt idx="481">
                  <c:v>5</c:v>
                </c:pt>
                <c:pt idx="482">
                  <c:v>5</c:v>
                </c:pt>
                <c:pt idx="483">
                  <c:v>4</c:v>
                </c:pt>
                <c:pt idx="484">
                  <c:v>1</c:v>
                </c:pt>
                <c:pt idx="485">
                  <c:v>5</c:v>
                </c:pt>
                <c:pt idx="486">
                  <c:v>4</c:v>
                </c:pt>
                <c:pt idx="487">
                  <c:v>2</c:v>
                </c:pt>
                <c:pt idx="488">
                  <c:v>4</c:v>
                </c:pt>
                <c:pt idx="489">
                  <c:v>5</c:v>
                </c:pt>
                <c:pt idx="490">
                  <c:v>5</c:v>
                </c:pt>
                <c:pt idx="491">
                  <c:v>4</c:v>
                </c:pt>
                <c:pt idx="492">
                  <c:v>5</c:v>
                </c:pt>
                <c:pt idx="493">
                  <c:v>2</c:v>
                </c:pt>
                <c:pt idx="494">
                  <c:v>3</c:v>
                </c:pt>
                <c:pt idx="495">
                  <c:v>4</c:v>
                </c:pt>
                <c:pt idx="496">
                  <c:v>4</c:v>
                </c:pt>
                <c:pt idx="497">
                  <c:v>5</c:v>
                </c:pt>
                <c:pt idx="498">
                  <c:v>2</c:v>
                </c:pt>
                <c:pt idx="499">
                  <c:v>4</c:v>
                </c:pt>
                <c:pt idx="500">
                  <c:v>4</c:v>
                </c:pt>
                <c:pt idx="501">
                  <c:v>4</c:v>
                </c:pt>
                <c:pt idx="502">
                  <c:v>4</c:v>
                </c:pt>
                <c:pt idx="503">
                  <c:v>4</c:v>
                </c:pt>
                <c:pt idx="504">
                  <c:v>2</c:v>
                </c:pt>
                <c:pt idx="505">
                  <c:v>3</c:v>
                </c:pt>
                <c:pt idx="506">
                  <c:v>5</c:v>
                </c:pt>
                <c:pt idx="507">
                  <c:v>4</c:v>
                </c:pt>
                <c:pt idx="508">
                  <c:v>5</c:v>
                </c:pt>
                <c:pt idx="509">
                  <c:v>3</c:v>
                </c:pt>
                <c:pt idx="510">
                  <c:v>4</c:v>
                </c:pt>
                <c:pt idx="511">
                  <c:v>1</c:v>
                </c:pt>
                <c:pt idx="512">
                  <c:v>4</c:v>
                </c:pt>
                <c:pt idx="513">
                  <c:v>5</c:v>
                </c:pt>
                <c:pt idx="514">
                  <c:v>3</c:v>
                </c:pt>
                <c:pt idx="515">
                  <c:v>3</c:v>
                </c:pt>
                <c:pt idx="516">
                  <c:v>1</c:v>
                </c:pt>
                <c:pt idx="517">
                  <c:v>5</c:v>
                </c:pt>
                <c:pt idx="518">
                  <c:v>1</c:v>
                </c:pt>
                <c:pt idx="519">
                  <c:v>3</c:v>
                </c:pt>
                <c:pt idx="520">
                  <c:v>4</c:v>
                </c:pt>
                <c:pt idx="521">
                  <c:v>3</c:v>
                </c:pt>
                <c:pt idx="522">
                  <c:v>4</c:v>
                </c:pt>
                <c:pt idx="523">
                  <c:v>5</c:v>
                </c:pt>
                <c:pt idx="524">
                  <c:v>3</c:v>
                </c:pt>
                <c:pt idx="525">
                  <c:v>5</c:v>
                </c:pt>
                <c:pt idx="526">
                  <c:v>5</c:v>
                </c:pt>
                <c:pt idx="527">
                  <c:v>5</c:v>
                </c:pt>
                <c:pt idx="528">
                  <c:v>4</c:v>
                </c:pt>
                <c:pt idx="529">
                  <c:v>4</c:v>
                </c:pt>
                <c:pt idx="530">
                  <c:v>4</c:v>
                </c:pt>
                <c:pt idx="531">
                  <c:v>4</c:v>
                </c:pt>
                <c:pt idx="532">
                  <c:v>5</c:v>
                </c:pt>
                <c:pt idx="533">
                  <c:v>1</c:v>
                </c:pt>
                <c:pt idx="534">
                  <c:v>4</c:v>
                </c:pt>
                <c:pt idx="535">
                  <c:v>3</c:v>
                </c:pt>
                <c:pt idx="536">
                  <c:v>3</c:v>
                </c:pt>
                <c:pt idx="537">
                  <c:v>4</c:v>
                </c:pt>
                <c:pt idx="538">
                  <c:v>2</c:v>
                </c:pt>
                <c:pt idx="539">
                  <c:v>4</c:v>
                </c:pt>
                <c:pt idx="540">
                  <c:v>1</c:v>
                </c:pt>
                <c:pt idx="541">
                  <c:v>5</c:v>
                </c:pt>
                <c:pt idx="542">
                  <c:v>4</c:v>
                </c:pt>
                <c:pt idx="543">
                  <c:v>5</c:v>
                </c:pt>
                <c:pt idx="544">
                  <c:v>1</c:v>
                </c:pt>
                <c:pt idx="545">
                  <c:v>2</c:v>
                </c:pt>
                <c:pt idx="546">
                  <c:v>5</c:v>
                </c:pt>
                <c:pt idx="547">
                  <c:v>4</c:v>
                </c:pt>
                <c:pt idx="548">
                  <c:v>3</c:v>
                </c:pt>
                <c:pt idx="549">
                  <c:v>4</c:v>
                </c:pt>
                <c:pt idx="550">
                  <c:v>4</c:v>
                </c:pt>
                <c:pt idx="551">
                  <c:v>4</c:v>
                </c:pt>
                <c:pt idx="552">
                  <c:v>3</c:v>
                </c:pt>
                <c:pt idx="553">
                  <c:v>2</c:v>
                </c:pt>
                <c:pt idx="554">
                  <c:v>4</c:v>
                </c:pt>
                <c:pt idx="555">
                  <c:v>5</c:v>
                </c:pt>
                <c:pt idx="556">
                  <c:v>5</c:v>
                </c:pt>
                <c:pt idx="557">
                  <c:v>1</c:v>
                </c:pt>
                <c:pt idx="558">
                  <c:v>4</c:v>
                </c:pt>
                <c:pt idx="559">
                  <c:v>4</c:v>
                </c:pt>
                <c:pt idx="560">
                  <c:v>1</c:v>
                </c:pt>
                <c:pt idx="561">
                  <c:v>5</c:v>
                </c:pt>
                <c:pt idx="562">
                  <c:v>3</c:v>
                </c:pt>
                <c:pt idx="563">
                  <c:v>3</c:v>
                </c:pt>
                <c:pt idx="564">
                  <c:v>4</c:v>
                </c:pt>
                <c:pt idx="565">
                  <c:v>1</c:v>
                </c:pt>
                <c:pt idx="566">
                  <c:v>5</c:v>
                </c:pt>
                <c:pt idx="567">
                  <c:v>4</c:v>
                </c:pt>
                <c:pt idx="568">
                  <c:v>4</c:v>
                </c:pt>
                <c:pt idx="569">
                  <c:v>3</c:v>
                </c:pt>
                <c:pt idx="570">
                  <c:v>5</c:v>
                </c:pt>
                <c:pt idx="571">
                  <c:v>3</c:v>
                </c:pt>
                <c:pt idx="572">
                  <c:v>4</c:v>
                </c:pt>
                <c:pt idx="573">
                  <c:v>5</c:v>
                </c:pt>
                <c:pt idx="574">
                  <c:v>2</c:v>
                </c:pt>
                <c:pt idx="575">
                  <c:v>4</c:v>
                </c:pt>
                <c:pt idx="576">
                  <c:v>5</c:v>
                </c:pt>
                <c:pt idx="577">
                  <c:v>4</c:v>
                </c:pt>
                <c:pt idx="578">
                  <c:v>3</c:v>
                </c:pt>
                <c:pt idx="579">
                  <c:v>4</c:v>
                </c:pt>
                <c:pt idx="580">
                  <c:v>5</c:v>
                </c:pt>
                <c:pt idx="581">
                  <c:v>4</c:v>
                </c:pt>
                <c:pt idx="582">
                  <c:v>2</c:v>
                </c:pt>
                <c:pt idx="583">
                  <c:v>3</c:v>
                </c:pt>
                <c:pt idx="584">
                  <c:v>4</c:v>
                </c:pt>
                <c:pt idx="585">
                  <c:v>3</c:v>
                </c:pt>
                <c:pt idx="586">
                  <c:v>5</c:v>
                </c:pt>
                <c:pt idx="587">
                  <c:v>3</c:v>
                </c:pt>
                <c:pt idx="588">
                  <c:v>3</c:v>
                </c:pt>
                <c:pt idx="589">
                  <c:v>3</c:v>
                </c:pt>
                <c:pt idx="590">
                  <c:v>2</c:v>
                </c:pt>
                <c:pt idx="591">
                  <c:v>3</c:v>
                </c:pt>
                <c:pt idx="592">
                  <c:v>4</c:v>
                </c:pt>
                <c:pt idx="593">
                  <c:v>5</c:v>
                </c:pt>
                <c:pt idx="594">
                  <c:v>5</c:v>
                </c:pt>
                <c:pt idx="595">
                  <c:v>3</c:v>
                </c:pt>
                <c:pt idx="596">
                  <c:v>4</c:v>
                </c:pt>
                <c:pt idx="597">
                  <c:v>5</c:v>
                </c:pt>
                <c:pt idx="598">
                  <c:v>5</c:v>
                </c:pt>
                <c:pt idx="599">
                  <c:v>4</c:v>
                </c:pt>
                <c:pt idx="600">
                  <c:v>5</c:v>
                </c:pt>
                <c:pt idx="601">
                  <c:v>5</c:v>
                </c:pt>
                <c:pt idx="602">
                  <c:v>2</c:v>
                </c:pt>
                <c:pt idx="603">
                  <c:v>4</c:v>
                </c:pt>
                <c:pt idx="604">
                  <c:v>4</c:v>
                </c:pt>
                <c:pt idx="605">
                  <c:v>4</c:v>
                </c:pt>
                <c:pt idx="606">
                  <c:v>2</c:v>
                </c:pt>
                <c:pt idx="607">
                  <c:v>5</c:v>
                </c:pt>
                <c:pt idx="608">
                  <c:v>3</c:v>
                </c:pt>
                <c:pt idx="609">
                  <c:v>1</c:v>
                </c:pt>
                <c:pt idx="610">
                  <c:v>3</c:v>
                </c:pt>
                <c:pt idx="611">
                  <c:v>3</c:v>
                </c:pt>
                <c:pt idx="612">
                  <c:v>4</c:v>
                </c:pt>
                <c:pt idx="613">
                  <c:v>5</c:v>
                </c:pt>
                <c:pt idx="614">
                  <c:v>4</c:v>
                </c:pt>
                <c:pt idx="615">
                  <c:v>4</c:v>
                </c:pt>
                <c:pt idx="616">
                  <c:v>3</c:v>
                </c:pt>
                <c:pt idx="617">
                  <c:v>4</c:v>
                </c:pt>
                <c:pt idx="618">
                  <c:v>3</c:v>
                </c:pt>
                <c:pt idx="619">
                  <c:v>4</c:v>
                </c:pt>
                <c:pt idx="620">
                  <c:v>5</c:v>
                </c:pt>
                <c:pt idx="621">
                  <c:v>5</c:v>
                </c:pt>
                <c:pt idx="622">
                  <c:v>1</c:v>
                </c:pt>
                <c:pt idx="623">
                  <c:v>4</c:v>
                </c:pt>
                <c:pt idx="624">
                  <c:v>3</c:v>
                </c:pt>
                <c:pt idx="625">
                  <c:v>4</c:v>
                </c:pt>
                <c:pt idx="626">
                  <c:v>5</c:v>
                </c:pt>
                <c:pt idx="627">
                  <c:v>4</c:v>
                </c:pt>
                <c:pt idx="628">
                  <c:v>4</c:v>
                </c:pt>
                <c:pt idx="629">
                  <c:v>5</c:v>
                </c:pt>
                <c:pt idx="630">
                  <c:v>4</c:v>
                </c:pt>
                <c:pt idx="631">
                  <c:v>3</c:v>
                </c:pt>
                <c:pt idx="632">
                  <c:v>2</c:v>
                </c:pt>
                <c:pt idx="633">
                  <c:v>5</c:v>
                </c:pt>
                <c:pt idx="634">
                  <c:v>3</c:v>
                </c:pt>
                <c:pt idx="635">
                  <c:v>4</c:v>
                </c:pt>
                <c:pt idx="636">
                  <c:v>2</c:v>
                </c:pt>
                <c:pt idx="637">
                  <c:v>2</c:v>
                </c:pt>
                <c:pt idx="638">
                  <c:v>5</c:v>
                </c:pt>
                <c:pt idx="639">
                  <c:v>4</c:v>
                </c:pt>
                <c:pt idx="640">
                  <c:v>5</c:v>
                </c:pt>
                <c:pt idx="641">
                  <c:v>4</c:v>
                </c:pt>
                <c:pt idx="642">
                  <c:v>4</c:v>
                </c:pt>
                <c:pt idx="643">
                  <c:v>3</c:v>
                </c:pt>
                <c:pt idx="644">
                  <c:v>4</c:v>
                </c:pt>
                <c:pt idx="645">
                  <c:v>5</c:v>
                </c:pt>
                <c:pt idx="646">
                  <c:v>3</c:v>
                </c:pt>
                <c:pt idx="647">
                  <c:v>4</c:v>
                </c:pt>
                <c:pt idx="648">
                  <c:v>5</c:v>
                </c:pt>
                <c:pt idx="649">
                  <c:v>5</c:v>
                </c:pt>
                <c:pt idx="650">
                  <c:v>1</c:v>
                </c:pt>
                <c:pt idx="651">
                  <c:v>4</c:v>
                </c:pt>
                <c:pt idx="652">
                  <c:v>5</c:v>
                </c:pt>
                <c:pt idx="653">
                  <c:v>4</c:v>
                </c:pt>
                <c:pt idx="654">
                  <c:v>5</c:v>
                </c:pt>
                <c:pt idx="655">
                  <c:v>3</c:v>
                </c:pt>
                <c:pt idx="656">
                  <c:v>4</c:v>
                </c:pt>
                <c:pt idx="657">
                  <c:v>2</c:v>
                </c:pt>
                <c:pt idx="658">
                  <c:v>3</c:v>
                </c:pt>
                <c:pt idx="659">
                  <c:v>5</c:v>
                </c:pt>
                <c:pt idx="660">
                  <c:v>4</c:v>
                </c:pt>
                <c:pt idx="661">
                  <c:v>4</c:v>
                </c:pt>
                <c:pt idx="662">
                  <c:v>4</c:v>
                </c:pt>
                <c:pt idx="663">
                  <c:v>5</c:v>
                </c:pt>
                <c:pt idx="664">
                  <c:v>5</c:v>
                </c:pt>
                <c:pt idx="665">
                  <c:v>5</c:v>
                </c:pt>
                <c:pt idx="666">
                  <c:v>5</c:v>
                </c:pt>
                <c:pt idx="667">
                  <c:v>4</c:v>
                </c:pt>
                <c:pt idx="668">
                  <c:v>5</c:v>
                </c:pt>
                <c:pt idx="669">
                  <c:v>1</c:v>
                </c:pt>
                <c:pt idx="670">
                  <c:v>5</c:v>
                </c:pt>
                <c:pt idx="671">
                  <c:v>4</c:v>
                </c:pt>
                <c:pt idx="672">
                  <c:v>3</c:v>
                </c:pt>
                <c:pt idx="673">
                  <c:v>3</c:v>
                </c:pt>
                <c:pt idx="674">
                  <c:v>5</c:v>
                </c:pt>
                <c:pt idx="675">
                  <c:v>5</c:v>
                </c:pt>
                <c:pt idx="676">
                  <c:v>4</c:v>
                </c:pt>
                <c:pt idx="677">
                  <c:v>3</c:v>
                </c:pt>
                <c:pt idx="678">
                  <c:v>4</c:v>
                </c:pt>
                <c:pt idx="679">
                  <c:v>5</c:v>
                </c:pt>
                <c:pt idx="680">
                  <c:v>3</c:v>
                </c:pt>
                <c:pt idx="681">
                  <c:v>2</c:v>
                </c:pt>
                <c:pt idx="682">
                  <c:v>4</c:v>
                </c:pt>
                <c:pt idx="683">
                  <c:v>5</c:v>
                </c:pt>
                <c:pt idx="684">
                  <c:v>5</c:v>
                </c:pt>
                <c:pt idx="685">
                  <c:v>4</c:v>
                </c:pt>
                <c:pt idx="686">
                  <c:v>5</c:v>
                </c:pt>
                <c:pt idx="687">
                  <c:v>4</c:v>
                </c:pt>
                <c:pt idx="688">
                  <c:v>3</c:v>
                </c:pt>
                <c:pt idx="689">
                  <c:v>3</c:v>
                </c:pt>
                <c:pt idx="690">
                  <c:v>5</c:v>
                </c:pt>
                <c:pt idx="691">
                  <c:v>4</c:v>
                </c:pt>
                <c:pt idx="692">
                  <c:v>4</c:v>
                </c:pt>
                <c:pt idx="693">
                  <c:v>3</c:v>
                </c:pt>
                <c:pt idx="694">
                  <c:v>4</c:v>
                </c:pt>
                <c:pt idx="695">
                  <c:v>5</c:v>
                </c:pt>
                <c:pt idx="696">
                  <c:v>5</c:v>
                </c:pt>
                <c:pt idx="697">
                  <c:v>3</c:v>
                </c:pt>
                <c:pt idx="698">
                  <c:v>2</c:v>
                </c:pt>
                <c:pt idx="699">
                  <c:v>5</c:v>
                </c:pt>
                <c:pt idx="700">
                  <c:v>3</c:v>
                </c:pt>
                <c:pt idx="701">
                  <c:v>3</c:v>
                </c:pt>
                <c:pt idx="702">
                  <c:v>2</c:v>
                </c:pt>
                <c:pt idx="703">
                  <c:v>3</c:v>
                </c:pt>
                <c:pt idx="704">
                  <c:v>4</c:v>
                </c:pt>
                <c:pt idx="705">
                  <c:v>2</c:v>
                </c:pt>
                <c:pt idx="706">
                  <c:v>4</c:v>
                </c:pt>
                <c:pt idx="707">
                  <c:v>5</c:v>
                </c:pt>
                <c:pt idx="708">
                  <c:v>4</c:v>
                </c:pt>
                <c:pt idx="709">
                  <c:v>5</c:v>
                </c:pt>
                <c:pt idx="710">
                  <c:v>5</c:v>
                </c:pt>
                <c:pt idx="711">
                  <c:v>5</c:v>
                </c:pt>
                <c:pt idx="712">
                  <c:v>2</c:v>
                </c:pt>
                <c:pt idx="713">
                  <c:v>3</c:v>
                </c:pt>
                <c:pt idx="714">
                  <c:v>4</c:v>
                </c:pt>
                <c:pt idx="715">
                  <c:v>3</c:v>
                </c:pt>
                <c:pt idx="716">
                  <c:v>3</c:v>
                </c:pt>
                <c:pt idx="717">
                  <c:v>4</c:v>
                </c:pt>
                <c:pt idx="718">
                  <c:v>5</c:v>
                </c:pt>
                <c:pt idx="719">
                  <c:v>5</c:v>
                </c:pt>
                <c:pt idx="720">
                  <c:v>4</c:v>
                </c:pt>
                <c:pt idx="721">
                  <c:v>4</c:v>
                </c:pt>
                <c:pt idx="722">
                  <c:v>1</c:v>
                </c:pt>
                <c:pt idx="723">
                  <c:v>4</c:v>
                </c:pt>
                <c:pt idx="724">
                  <c:v>5</c:v>
                </c:pt>
                <c:pt idx="725">
                  <c:v>4</c:v>
                </c:pt>
                <c:pt idx="726">
                  <c:v>4</c:v>
                </c:pt>
                <c:pt idx="727">
                  <c:v>5</c:v>
                </c:pt>
                <c:pt idx="728">
                  <c:v>3</c:v>
                </c:pt>
                <c:pt idx="729">
                  <c:v>3</c:v>
                </c:pt>
                <c:pt idx="730">
                  <c:v>3</c:v>
                </c:pt>
                <c:pt idx="731">
                  <c:v>4</c:v>
                </c:pt>
                <c:pt idx="732">
                  <c:v>4</c:v>
                </c:pt>
                <c:pt idx="733">
                  <c:v>4</c:v>
                </c:pt>
                <c:pt idx="734">
                  <c:v>5</c:v>
                </c:pt>
                <c:pt idx="735">
                  <c:v>2</c:v>
                </c:pt>
                <c:pt idx="736">
                  <c:v>5</c:v>
                </c:pt>
                <c:pt idx="737">
                  <c:v>1</c:v>
                </c:pt>
                <c:pt idx="738">
                  <c:v>4</c:v>
                </c:pt>
                <c:pt idx="739">
                  <c:v>3</c:v>
                </c:pt>
                <c:pt idx="740">
                  <c:v>3</c:v>
                </c:pt>
                <c:pt idx="741">
                  <c:v>3</c:v>
                </c:pt>
                <c:pt idx="742">
                  <c:v>5</c:v>
                </c:pt>
                <c:pt idx="743">
                  <c:v>5</c:v>
                </c:pt>
                <c:pt idx="744">
                  <c:v>5</c:v>
                </c:pt>
                <c:pt idx="745">
                  <c:v>5</c:v>
                </c:pt>
                <c:pt idx="746">
                  <c:v>4</c:v>
                </c:pt>
                <c:pt idx="747">
                  <c:v>1</c:v>
                </c:pt>
                <c:pt idx="748">
                  <c:v>3</c:v>
                </c:pt>
                <c:pt idx="749">
                  <c:v>5</c:v>
                </c:pt>
                <c:pt idx="750">
                  <c:v>4</c:v>
                </c:pt>
                <c:pt idx="751">
                  <c:v>4</c:v>
                </c:pt>
                <c:pt idx="752">
                  <c:v>2</c:v>
                </c:pt>
                <c:pt idx="753">
                  <c:v>2</c:v>
                </c:pt>
                <c:pt idx="754">
                  <c:v>1</c:v>
                </c:pt>
                <c:pt idx="755">
                  <c:v>4</c:v>
                </c:pt>
                <c:pt idx="756">
                  <c:v>5</c:v>
                </c:pt>
                <c:pt idx="757">
                  <c:v>5</c:v>
                </c:pt>
                <c:pt idx="758">
                  <c:v>4</c:v>
                </c:pt>
                <c:pt idx="759">
                  <c:v>4</c:v>
                </c:pt>
                <c:pt idx="760">
                  <c:v>4</c:v>
                </c:pt>
                <c:pt idx="761">
                  <c:v>4</c:v>
                </c:pt>
                <c:pt idx="762">
                  <c:v>4</c:v>
                </c:pt>
                <c:pt idx="763">
                  <c:v>4</c:v>
                </c:pt>
                <c:pt idx="764">
                  <c:v>3</c:v>
                </c:pt>
                <c:pt idx="765">
                  <c:v>5</c:v>
                </c:pt>
                <c:pt idx="766">
                  <c:v>3</c:v>
                </c:pt>
                <c:pt idx="767">
                  <c:v>5</c:v>
                </c:pt>
                <c:pt idx="768">
                  <c:v>4</c:v>
                </c:pt>
                <c:pt idx="769">
                  <c:v>5</c:v>
                </c:pt>
                <c:pt idx="770">
                  <c:v>3</c:v>
                </c:pt>
                <c:pt idx="771">
                  <c:v>2</c:v>
                </c:pt>
                <c:pt idx="772">
                  <c:v>3</c:v>
                </c:pt>
                <c:pt idx="773">
                  <c:v>1</c:v>
                </c:pt>
                <c:pt idx="774">
                  <c:v>1</c:v>
                </c:pt>
                <c:pt idx="775">
                  <c:v>5</c:v>
                </c:pt>
                <c:pt idx="776">
                  <c:v>5</c:v>
                </c:pt>
                <c:pt idx="777">
                  <c:v>5</c:v>
                </c:pt>
                <c:pt idx="778">
                  <c:v>5</c:v>
                </c:pt>
                <c:pt idx="779">
                  <c:v>5</c:v>
                </c:pt>
                <c:pt idx="780">
                  <c:v>5</c:v>
                </c:pt>
                <c:pt idx="781">
                  <c:v>3</c:v>
                </c:pt>
                <c:pt idx="782">
                  <c:v>4</c:v>
                </c:pt>
                <c:pt idx="783">
                  <c:v>1</c:v>
                </c:pt>
                <c:pt idx="784">
                  <c:v>5</c:v>
                </c:pt>
                <c:pt idx="785">
                  <c:v>5</c:v>
                </c:pt>
                <c:pt idx="786">
                  <c:v>5</c:v>
                </c:pt>
                <c:pt idx="787">
                  <c:v>4</c:v>
                </c:pt>
                <c:pt idx="788">
                  <c:v>2</c:v>
                </c:pt>
                <c:pt idx="789">
                  <c:v>3</c:v>
                </c:pt>
                <c:pt idx="790">
                  <c:v>5</c:v>
                </c:pt>
                <c:pt idx="791">
                  <c:v>4</c:v>
                </c:pt>
                <c:pt idx="792">
                  <c:v>3</c:v>
                </c:pt>
                <c:pt idx="793">
                  <c:v>5</c:v>
                </c:pt>
                <c:pt idx="794">
                  <c:v>5</c:v>
                </c:pt>
                <c:pt idx="795">
                  <c:v>5</c:v>
                </c:pt>
                <c:pt idx="796">
                  <c:v>5</c:v>
                </c:pt>
                <c:pt idx="797">
                  <c:v>2</c:v>
                </c:pt>
                <c:pt idx="798">
                  <c:v>4</c:v>
                </c:pt>
                <c:pt idx="799">
                  <c:v>5</c:v>
                </c:pt>
                <c:pt idx="800">
                  <c:v>4</c:v>
                </c:pt>
                <c:pt idx="801">
                  <c:v>5</c:v>
                </c:pt>
                <c:pt idx="802">
                  <c:v>3</c:v>
                </c:pt>
                <c:pt idx="803">
                  <c:v>3</c:v>
                </c:pt>
                <c:pt idx="804">
                  <c:v>5</c:v>
                </c:pt>
                <c:pt idx="805">
                  <c:v>5</c:v>
                </c:pt>
                <c:pt idx="806">
                  <c:v>2</c:v>
                </c:pt>
                <c:pt idx="807">
                  <c:v>2</c:v>
                </c:pt>
                <c:pt idx="808">
                  <c:v>4</c:v>
                </c:pt>
                <c:pt idx="809">
                  <c:v>3</c:v>
                </c:pt>
                <c:pt idx="810">
                  <c:v>4</c:v>
                </c:pt>
                <c:pt idx="811">
                  <c:v>4</c:v>
                </c:pt>
                <c:pt idx="812">
                  <c:v>3</c:v>
                </c:pt>
                <c:pt idx="813">
                  <c:v>5</c:v>
                </c:pt>
                <c:pt idx="814">
                  <c:v>5</c:v>
                </c:pt>
                <c:pt idx="815">
                  <c:v>3</c:v>
                </c:pt>
                <c:pt idx="816">
                  <c:v>3</c:v>
                </c:pt>
                <c:pt idx="817">
                  <c:v>4</c:v>
                </c:pt>
                <c:pt idx="818">
                  <c:v>3</c:v>
                </c:pt>
                <c:pt idx="819">
                  <c:v>2</c:v>
                </c:pt>
                <c:pt idx="820">
                  <c:v>1</c:v>
                </c:pt>
                <c:pt idx="821">
                  <c:v>1</c:v>
                </c:pt>
                <c:pt idx="822">
                  <c:v>5</c:v>
                </c:pt>
                <c:pt idx="823">
                  <c:v>5</c:v>
                </c:pt>
                <c:pt idx="824">
                  <c:v>4</c:v>
                </c:pt>
                <c:pt idx="825">
                  <c:v>2</c:v>
                </c:pt>
                <c:pt idx="826">
                  <c:v>5</c:v>
                </c:pt>
                <c:pt idx="827">
                  <c:v>5</c:v>
                </c:pt>
                <c:pt idx="828">
                  <c:v>5</c:v>
                </c:pt>
                <c:pt idx="829">
                  <c:v>5</c:v>
                </c:pt>
                <c:pt idx="830">
                  <c:v>4</c:v>
                </c:pt>
                <c:pt idx="831">
                  <c:v>4</c:v>
                </c:pt>
                <c:pt idx="832">
                  <c:v>2</c:v>
                </c:pt>
                <c:pt idx="833">
                  <c:v>3</c:v>
                </c:pt>
                <c:pt idx="834">
                  <c:v>3</c:v>
                </c:pt>
                <c:pt idx="835">
                  <c:v>3</c:v>
                </c:pt>
                <c:pt idx="836">
                  <c:v>3</c:v>
                </c:pt>
                <c:pt idx="837">
                  <c:v>3</c:v>
                </c:pt>
                <c:pt idx="838">
                  <c:v>2</c:v>
                </c:pt>
                <c:pt idx="839">
                  <c:v>4</c:v>
                </c:pt>
                <c:pt idx="840">
                  <c:v>2</c:v>
                </c:pt>
                <c:pt idx="841">
                  <c:v>4</c:v>
                </c:pt>
                <c:pt idx="842">
                  <c:v>3</c:v>
                </c:pt>
                <c:pt idx="843">
                  <c:v>4</c:v>
                </c:pt>
                <c:pt idx="844">
                  <c:v>4</c:v>
                </c:pt>
                <c:pt idx="845">
                  <c:v>5</c:v>
                </c:pt>
                <c:pt idx="846">
                  <c:v>3</c:v>
                </c:pt>
                <c:pt idx="847">
                  <c:v>5</c:v>
                </c:pt>
                <c:pt idx="848">
                  <c:v>3</c:v>
                </c:pt>
                <c:pt idx="849">
                  <c:v>1</c:v>
                </c:pt>
                <c:pt idx="850">
                  <c:v>4</c:v>
                </c:pt>
                <c:pt idx="851">
                  <c:v>3</c:v>
                </c:pt>
                <c:pt idx="852">
                  <c:v>4</c:v>
                </c:pt>
                <c:pt idx="853">
                  <c:v>5</c:v>
                </c:pt>
                <c:pt idx="854">
                  <c:v>4</c:v>
                </c:pt>
                <c:pt idx="855">
                  <c:v>3</c:v>
                </c:pt>
                <c:pt idx="856">
                  <c:v>3</c:v>
                </c:pt>
                <c:pt idx="857">
                  <c:v>5</c:v>
                </c:pt>
                <c:pt idx="858">
                  <c:v>3</c:v>
                </c:pt>
                <c:pt idx="859">
                  <c:v>4</c:v>
                </c:pt>
                <c:pt idx="860">
                  <c:v>5</c:v>
                </c:pt>
                <c:pt idx="861">
                  <c:v>5</c:v>
                </c:pt>
                <c:pt idx="862">
                  <c:v>5</c:v>
                </c:pt>
                <c:pt idx="863">
                  <c:v>4</c:v>
                </c:pt>
                <c:pt idx="864">
                  <c:v>3</c:v>
                </c:pt>
                <c:pt idx="865">
                  <c:v>5</c:v>
                </c:pt>
                <c:pt idx="866">
                  <c:v>3</c:v>
                </c:pt>
                <c:pt idx="867">
                  <c:v>4</c:v>
                </c:pt>
                <c:pt idx="868">
                  <c:v>4</c:v>
                </c:pt>
                <c:pt idx="869">
                  <c:v>2</c:v>
                </c:pt>
                <c:pt idx="870">
                  <c:v>5</c:v>
                </c:pt>
                <c:pt idx="871">
                  <c:v>4</c:v>
                </c:pt>
                <c:pt idx="872">
                  <c:v>4</c:v>
                </c:pt>
                <c:pt idx="873">
                  <c:v>3</c:v>
                </c:pt>
                <c:pt idx="874">
                  <c:v>1</c:v>
                </c:pt>
                <c:pt idx="875">
                  <c:v>4</c:v>
                </c:pt>
                <c:pt idx="876">
                  <c:v>3</c:v>
                </c:pt>
                <c:pt idx="877">
                  <c:v>5</c:v>
                </c:pt>
                <c:pt idx="878">
                  <c:v>5</c:v>
                </c:pt>
                <c:pt idx="879">
                  <c:v>3</c:v>
                </c:pt>
                <c:pt idx="880">
                  <c:v>4</c:v>
                </c:pt>
                <c:pt idx="881">
                  <c:v>3</c:v>
                </c:pt>
                <c:pt idx="882">
                  <c:v>1</c:v>
                </c:pt>
                <c:pt idx="883">
                  <c:v>4</c:v>
                </c:pt>
                <c:pt idx="884">
                  <c:v>2</c:v>
                </c:pt>
                <c:pt idx="885">
                  <c:v>5</c:v>
                </c:pt>
                <c:pt idx="886">
                  <c:v>5</c:v>
                </c:pt>
                <c:pt idx="887">
                  <c:v>1</c:v>
                </c:pt>
                <c:pt idx="888">
                  <c:v>5</c:v>
                </c:pt>
                <c:pt idx="889">
                  <c:v>5</c:v>
                </c:pt>
                <c:pt idx="890">
                  <c:v>4</c:v>
                </c:pt>
                <c:pt idx="891">
                  <c:v>3</c:v>
                </c:pt>
                <c:pt idx="892">
                  <c:v>4</c:v>
                </c:pt>
                <c:pt idx="893">
                  <c:v>1</c:v>
                </c:pt>
                <c:pt idx="894">
                  <c:v>4</c:v>
                </c:pt>
                <c:pt idx="895">
                  <c:v>4</c:v>
                </c:pt>
                <c:pt idx="896">
                  <c:v>4</c:v>
                </c:pt>
                <c:pt idx="897">
                  <c:v>4</c:v>
                </c:pt>
                <c:pt idx="898">
                  <c:v>5</c:v>
                </c:pt>
                <c:pt idx="899">
                  <c:v>4</c:v>
                </c:pt>
                <c:pt idx="900">
                  <c:v>4</c:v>
                </c:pt>
                <c:pt idx="901">
                  <c:v>2</c:v>
                </c:pt>
                <c:pt idx="902">
                  <c:v>5</c:v>
                </c:pt>
                <c:pt idx="903">
                  <c:v>5</c:v>
                </c:pt>
                <c:pt idx="904">
                  <c:v>3</c:v>
                </c:pt>
                <c:pt idx="905">
                  <c:v>5</c:v>
                </c:pt>
                <c:pt idx="906">
                  <c:v>3</c:v>
                </c:pt>
                <c:pt idx="907">
                  <c:v>4</c:v>
                </c:pt>
                <c:pt idx="908">
                  <c:v>4</c:v>
                </c:pt>
                <c:pt idx="909">
                  <c:v>3</c:v>
                </c:pt>
                <c:pt idx="910">
                  <c:v>3</c:v>
                </c:pt>
                <c:pt idx="911">
                  <c:v>5</c:v>
                </c:pt>
                <c:pt idx="912">
                  <c:v>3</c:v>
                </c:pt>
                <c:pt idx="913">
                  <c:v>2</c:v>
                </c:pt>
                <c:pt idx="914">
                  <c:v>4</c:v>
                </c:pt>
                <c:pt idx="915">
                  <c:v>5</c:v>
                </c:pt>
                <c:pt idx="916">
                  <c:v>4</c:v>
                </c:pt>
                <c:pt idx="917">
                  <c:v>3</c:v>
                </c:pt>
                <c:pt idx="918">
                  <c:v>5</c:v>
                </c:pt>
                <c:pt idx="919">
                  <c:v>2</c:v>
                </c:pt>
                <c:pt idx="920">
                  <c:v>4</c:v>
                </c:pt>
                <c:pt idx="921">
                  <c:v>2</c:v>
                </c:pt>
                <c:pt idx="922">
                  <c:v>3</c:v>
                </c:pt>
                <c:pt idx="923">
                  <c:v>4</c:v>
                </c:pt>
                <c:pt idx="924">
                  <c:v>4</c:v>
                </c:pt>
                <c:pt idx="925">
                  <c:v>5</c:v>
                </c:pt>
                <c:pt idx="926">
                  <c:v>2</c:v>
                </c:pt>
                <c:pt idx="927">
                  <c:v>4</c:v>
                </c:pt>
                <c:pt idx="928">
                  <c:v>3</c:v>
                </c:pt>
                <c:pt idx="929">
                  <c:v>3</c:v>
                </c:pt>
                <c:pt idx="930">
                  <c:v>5</c:v>
                </c:pt>
                <c:pt idx="931">
                  <c:v>5</c:v>
                </c:pt>
                <c:pt idx="932">
                  <c:v>4</c:v>
                </c:pt>
                <c:pt idx="933">
                  <c:v>1</c:v>
                </c:pt>
                <c:pt idx="934">
                  <c:v>2</c:v>
                </c:pt>
                <c:pt idx="935">
                  <c:v>5</c:v>
                </c:pt>
                <c:pt idx="936">
                  <c:v>4</c:v>
                </c:pt>
                <c:pt idx="937">
                  <c:v>3</c:v>
                </c:pt>
                <c:pt idx="938">
                  <c:v>5</c:v>
                </c:pt>
                <c:pt idx="939">
                  <c:v>3</c:v>
                </c:pt>
                <c:pt idx="940">
                  <c:v>4</c:v>
                </c:pt>
                <c:pt idx="941">
                  <c:v>5</c:v>
                </c:pt>
                <c:pt idx="942">
                  <c:v>4</c:v>
                </c:pt>
                <c:pt idx="943">
                  <c:v>4</c:v>
                </c:pt>
                <c:pt idx="944">
                  <c:v>5</c:v>
                </c:pt>
                <c:pt idx="945">
                  <c:v>5</c:v>
                </c:pt>
                <c:pt idx="946">
                  <c:v>4</c:v>
                </c:pt>
                <c:pt idx="947">
                  <c:v>4</c:v>
                </c:pt>
                <c:pt idx="948">
                  <c:v>3</c:v>
                </c:pt>
                <c:pt idx="949">
                  <c:v>4</c:v>
                </c:pt>
                <c:pt idx="950">
                  <c:v>5</c:v>
                </c:pt>
                <c:pt idx="951">
                  <c:v>5</c:v>
                </c:pt>
                <c:pt idx="952">
                  <c:v>4</c:v>
                </c:pt>
                <c:pt idx="953">
                  <c:v>3</c:v>
                </c:pt>
                <c:pt idx="954">
                  <c:v>3</c:v>
                </c:pt>
                <c:pt idx="955">
                  <c:v>4</c:v>
                </c:pt>
                <c:pt idx="956">
                  <c:v>4</c:v>
                </c:pt>
                <c:pt idx="957">
                  <c:v>3</c:v>
                </c:pt>
                <c:pt idx="958">
                  <c:v>4</c:v>
                </c:pt>
                <c:pt idx="959">
                  <c:v>4</c:v>
                </c:pt>
                <c:pt idx="960">
                  <c:v>4</c:v>
                </c:pt>
                <c:pt idx="961">
                  <c:v>3</c:v>
                </c:pt>
                <c:pt idx="962">
                  <c:v>2</c:v>
                </c:pt>
                <c:pt idx="963">
                  <c:v>5</c:v>
                </c:pt>
                <c:pt idx="964">
                  <c:v>3</c:v>
                </c:pt>
                <c:pt idx="965">
                  <c:v>3</c:v>
                </c:pt>
                <c:pt idx="966">
                  <c:v>1</c:v>
                </c:pt>
                <c:pt idx="967">
                  <c:v>4</c:v>
                </c:pt>
                <c:pt idx="968">
                  <c:v>4</c:v>
                </c:pt>
                <c:pt idx="969">
                  <c:v>3</c:v>
                </c:pt>
                <c:pt idx="970">
                  <c:v>4</c:v>
                </c:pt>
                <c:pt idx="971">
                  <c:v>5</c:v>
                </c:pt>
                <c:pt idx="972">
                  <c:v>5</c:v>
                </c:pt>
                <c:pt idx="973">
                  <c:v>5</c:v>
                </c:pt>
                <c:pt idx="974">
                  <c:v>4</c:v>
                </c:pt>
                <c:pt idx="975">
                  <c:v>2</c:v>
                </c:pt>
                <c:pt idx="976">
                  <c:v>4</c:v>
                </c:pt>
                <c:pt idx="977">
                  <c:v>5</c:v>
                </c:pt>
                <c:pt idx="978">
                  <c:v>1</c:v>
                </c:pt>
                <c:pt idx="979">
                  <c:v>5</c:v>
                </c:pt>
                <c:pt idx="980">
                  <c:v>3</c:v>
                </c:pt>
                <c:pt idx="981">
                  <c:v>3</c:v>
                </c:pt>
                <c:pt idx="982">
                  <c:v>5</c:v>
                </c:pt>
                <c:pt idx="983">
                  <c:v>4</c:v>
                </c:pt>
                <c:pt idx="984">
                  <c:v>4</c:v>
                </c:pt>
                <c:pt idx="985">
                  <c:v>3</c:v>
                </c:pt>
                <c:pt idx="986">
                  <c:v>5</c:v>
                </c:pt>
                <c:pt idx="987">
                  <c:v>3</c:v>
                </c:pt>
                <c:pt idx="988">
                  <c:v>5</c:v>
                </c:pt>
                <c:pt idx="989">
                  <c:v>4</c:v>
                </c:pt>
                <c:pt idx="990">
                  <c:v>1</c:v>
                </c:pt>
                <c:pt idx="991">
                  <c:v>4</c:v>
                </c:pt>
                <c:pt idx="992">
                  <c:v>2</c:v>
                </c:pt>
                <c:pt idx="993">
                  <c:v>4</c:v>
                </c:pt>
                <c:pt idx="994">
                  <c:v>3</c:v>
                </c:pt>
                <c:pt idx="995">
                  <c:v>4</c:v>
                </c:pt>
                <c:pt idx="996">
                  <c:v>4</c:v>
                </c:pt>
                <c:pt idx="997">
                  <c:v>4</c:v>
                </c:pt>
                <c:pt idx="998">
                  <c:v>4</c:v>
                </c:pt>
                <c:pt idx="999">
                  <c:v>2</c:v>
                </c:pt>
              </c:numCache>
            </c:numRef>
          </c:xVal>
          <c:yVal>
            <c:numRef>
              <c:f>'Raw Data'!$C$2:$C$1001</c:f>
              <c:numCache>
                <c:formatCode>General</c:formatCode>
                <c:ptCount val="1000"/>
                <c:pt idx="0">
                  <c:v>27.58</c:v>
                </c:pt>
                <c:pt idx="1">
                  <c:v>19.149999999999999</c:v>
                </c:pt>
                <c:pt idx="2">
                  <c:v>59.96</c:v>
                </c:pt>
                <c:pt idx="3">
                  <c:v>56.76</c:v>
                </c:pt>
                <c:pt idx="4">
                  <c:v>55.72</c:v>
                </c:pt>
                <c:pt idx="5">
                  <c:v>50.24</c:v>
                </c:pt>
                <c:pt idx="6">
                  <c:v>9.77</c:v>
                </c:pt>
                <c:pt idx="7">
                  <c:v>30.22</c:v>
                </c:pt>
                <c:pt idx="8">
                  <c:v>51.69</c:v>
                </c:pt>
                <c:pt idx="9">
                  <c:v>22.15</c:v>
                </c:pt>
                <c:pt idx="10">
                  <c:v>5.36</c:v>
                </c:pt>
                <c:pt idx="11">
                  <c:v>41.46</c:v>
                </c:pt>
                <c:pt idx="12">
                  <c:v>27</c:v>
                </c:pt>
                <c:pt idx="13">
                  <c:v>57.8</c:v>
                </c:pt>
                <c:pt idx="14">
                  <c:v>28.81</c:v>
                </c:pt>
                <c:pt idx="15">
                  <c:v>42.09</c:v>
                </c:pt>
                <c:pt idx="16">
                  <c:v>12.2</c:v>
                </c:pt>
                <c:pt idx="17">
                  <c:v>1.17</c:v>
                </c:pt>
                <c:pt idx="18">
                  <c:v>7.43</c:v>
                </c:pt>
                <c:pt idx="19">
                  <c:v>37.83</c:v>
                </c:pt>
                <c:pt idx="20">
                  <c:v>19.440000000000001</c:v>
                </c:pt>
                <c:pt idx="21">
                  <c:v>43.54</c:v>
                </c:pt>
                <c:pt idx="22">
                  <c:v>55.81</c:v>
                </c:pt>
                <c:pt idx="23">
                  <c:v>46.83</c:v>
                </c:pt>
                <c:pt idx="24">
                  <c:v>24.32</c:v>
                </c:pt>
                <c:pt idx="25">
                  <c:v>55.34</c:v>
                </c:pt>
                <c:pt idx="26">
                  <c:v>21.03</c:v>
                </c:pt>
                <c:pt idx="27">
                  <c:v>45.5</c:v>
                </c:pt>
                <c:pt idx="28">
                  <c:v>51.98</c:v>
                </c:pt>
                <c:pt idx="29">
                  <c:v>11.18</c:v>
                </c:pt>
                <c:pt idx="30">
                  <c:v>52.51</c:v>
                </c:pt>
                <c:pt idx="31">
                  <c:v>25.98</c:v>
                </c:pt>
                <c:pt idx="32">
                  <c:v>10.57</c:v>
                </c:pt>
                <c:pt idx="33">
                  <c:v>28.23</c:v>
                </c:pt>
                <c:pt idx="34">
                  <c:v>26.81</c:v>
                </c:pt>
                <c:pt idx="35">
                  <c:v>9.19</c:v>
                </c:pt>
                <c:pt idx="36">
                  <c:v>1.97</c:v>
                </c:pt>
                <c:pt idx="37">
                  <c:v>15.96</c:v>
                </c:pt>
                <c:pt idx="38">
                  <c:v>3.18</c:v>
                </c:pt>
                <c:pt idx="39">
                  <c:v>21</c:v>
                </c:pt>
                <c:pt idx="40">
                  <c:v>43.87</c:v>
                </c:pt>
                <c:pt idx="41">
                  <c:v>57.01</c:v>
                </c:pt>
                <c:pt idx="42">
                  <c:v>17.850000000000001</c:v>
                </c:pt>
                <c:pt idx="43">
                  <c:v>47.82</c:v>
                </c:pt>
                <c:pt idx="44">
                  <c:v>58.36</c:v>
                </c:pt>
                <c:pt idx="45">
                  <c:v>53.79</c:v>
                </c:pt>
                <c:pt idx="46">
                  <c:v>46.48</c:v>
                </c:pt>
                <c:pt idx="47">
                  <c:v>51.82</c:v>
                </c:pt>
                <c:pt idx="48">
                  <c:v>35.08</c:v>
                </c:pt>
                <c:pt idx="49">
                  <c:v>26.42</c:v>
                </c:pt>
                <c:pt idx="50">
                  <c:v>45.54</c:v>
                </c:pt>
                <c:pt idx="51">
                  <c:v>42.81</c:v>
                </c:pt>
                <c:pt idx="52">
                  <c:v>37.56</c:v>
                </c:pt>
                <c:pt idx="53">
                  <c:v>29.22</c:v>
                </c:pt>
                <c:pt idx="54">
                  <c:v>42.59</c:v>
                </c:pt>
                <c:pt idx="55">
                  <c:v>56.04</c:v>
                </c:pt>
                <c:pt idx="56">
                  <c:v>29.16</c:v>
                </c:pt>
                <c:pt idx="57">
                  <c:v>45.18</c:v>
                </c:pt>
                <c:pt idx="58">
                  <c:v>1.83</c:v>
                </c:pt>
                <c:pt idx="59">
                  <c:v>35.36</c:v>
                </c:pt>
                <c:pt idx="60">
                  <c:v>59.33</c:v>
                </c:pt>
                <c:pt idx="61">
                  <c:v>20.36</c:v>
                </c:pt>
                <c:pt idx="62">
                  <c:v>21.32</c:v>
                </c:pt>
                <c:pt idx="63">
                  <c:v>52.59</c:v>
                </c:pt>
                <c:pt idx="64">
                  <c:v>46.16</c:v>
                </c:pt>
                <c:pt idx="65">
                  <c:v>14.81</c:v>
                </c:pt>
                <c:pt idx="66">
                  <c:v>40.6</c:v>
                </c:pt>
                <c:pt idx="67">
                  <c:v>55.4</c:v>
                </c:pt>
                <c:pt idx="68">
                  <c:v>59.96</c:v>
                </c:pt>
                <c:pt idx="69">
                  <c:v>25.42</c:v>
                </c:pt>
                <c:pt idx="70">
                  <c:v>10.92</c:v>
                </c:pt>
                <c:pt idx="71">
                  <c:v>4.57</c:v>
                </c:pt>
                <c:pt idx="72">
                  <c:v>12.32</c:v>
                </c:pt>
                <c:pt idx="73">
                  <c:v>11.11</c:v>
                </c:pt>
                <c:pt idx="74">
                  <c:v>1.92</c:v>
                </c:pt>
                <c:pt idx="75">
                  <c:v>21.09</c:v>
                </c:pt>
                <c:pt idx="76">
                  <c:v>23.42</c:v>
                </c:pt>
                <c:pt idx="77">
                  <c:v>1.73</c:v>
                </c:pt>
                <c:pt idx="78">
                  <c:v>37.380000000000003</c:v>
                </c:pt>
                <c:pt idx="79">
                  <c:v>44.35</c:v>
                </c:pt>
                <c:pt idx="80">
                  <c:v>49.31</c:v>
                </c:pt>
                <c:pt idx="81">
                  <c:v>32.67</c:v>
                </c:pt>
                <c:pt idx="82">
                  <c:v>23.07</c:v>
                </c:pt>
                <c:pt idx="83">
                  <c:v>18.71</c:v>
                </c:pt>
                <c:pt idx="84">
                  <c:v>27.52</c:v>
                </c:pt>
                <c:pt idx="85">
                  <c:v>21.76</c:v>
                </c:pt>
                <c:pt idx="86">
                  <c:v>55.9</c:v>
                </c:pt>
                <c:pt idx="87">
                  <c:v>47.95</c:v>
                </c:pt>
                <c:pt idx="88">
                  <c:v>44.42</c:v>
                </c:pt>
                <c:pt idx="89">
                  <c:v>34.630000000000003</c:v>
                </c:pt>
                <c:pt idx="90">
                  <c:v>20</c:v>
                </c:pt>
                <c:pt idx="91">
                  <c:v>6.49</c:v>
                </c:pt>
                <c:pt idx="92">
                  <c:v>28.11</c:v>
                </c:pt>
                <c:pt idx="93">
                  <c:v>42.26</c:v>
                </c:pt>
                <c:pt idx="94">
                  <c:v>18.649999999999999</c:v>
                </c:pt>
                <c:pt idx="95">
                  <c:v>23.65</c:v>
                </c:pt>
                <c:pt idx="96">
                  <c:v>57.32</c:v>
                </c:pt>
                <c:pt idx="97">
                  <c:v>3.35</c:v>
                </c:pt>
                <c:pt idx="98">
                  <c:v>41.18</c:v>
                </c:pt>
                <c:pt idx="99">
                  <c:v>22.94</c:v>
                </c:pt>
                <c:pt idx="100">
                  <c:v>7.8</c:v>
                </c:pt>
                <c:pt idx="101">
                  <c:v>40.72</c:v>
                </c:pt>
                <c:pt idx="102">
                  <c:v>46.77</c:v>
                </c:pt>
                <c:pt idx="103">
                  <c:v>42.98</c:v>
                </c:pt>
                <c:pt idx="104">
                  <c:v>44.38</c:v>
                </c:pt>
                <c:pt idx="105">
                  <c:v>42.11</c:v>
                </c:pt>
                <c:pt idx="106">
                  <c:v>49.98</c:v>
                </c:pt>
                <c:pt idx="107">
                  <c:v>55.51</c:v>
                </c:pt>
                <c:pt idx="108">
                  <c:v>38.909999999999997</c:v>
                </c:pt>
                <c:pt idx="109">
                  <c:v>22.08</c:v>
                </c:pt>
                <c:pt idx="110">
                  <c:v>22.16</c:v>
                </c:pt>
                <c:pt idx="111">
                  <c:v>21.1</c:v>
                </c:pt>
                <c:pt idx="112">
                  <c:v>57.67</c:v>
                </c:pt>
                <c:pt idx="113">
                  <c:v>19.77</c:v>
                </c:pt>
                <c:pt idx="114">
                  <c:v>47.43</c:v>
                </c:pt>
                <c:pt idx="115">
                  <c:v>5.38</c:v>
                </c:pt>
                <c:pt idx="116">
                  <c:v>32.86</c:v>
                </c:pt>
                <c:pt idx="117">
                  <c:v>28.78</c:v>
                </c:pt>
                <c:pt idx="118">
                  <c:v>14.42</c:v>
                </c:pt>
                <c:pt idx="119">
                  <c:v>56.99</c:v>
                </c:pt>
                <c:pt idx="120">
                  <c:v>1.73</c:v>
                </c:pt>
                <c:pt idx="121">
                  <c:v>17.25</c:v>
                </c:pt>
                <c:pt idx="122">
                  <c:v>27.14</c:v>
                </c:pt>
                <c:pt idx="123">
                  <c:v>12.37</c:v>
                </c:pt>
                <c:pt idx="124">
                  <c:v>53.77</c:v>
                </c:pt>
                <c:pt idx="125">
                  <c:v>1.5</c:v>
                </c:pt>
                <c:pt idx="126">
                  <c:v>36.93</c:v>
                </c:pt>
                <c:pt idx="127">
                  <c:v>39.659999999999997</c:v>
                </c:pt>
                <c:pt idx="128">
                  <c:v>6.76</c:v>
                </c:pt>
                <c:pt idx="129">
                  <c:v>5.2</c:v>
                </c:pt>
                <c:pt idx="130">
                  <c:v>4.42</c:v>
                </c:pt>
                <c:pt idx="131">
                  <c:v>40.92</c:v>
                </c:pt>
                <c:pt idx="132">
                  <c:v>56.93</c:v>
                </c:pt>
                <c:pt idx="133">
                  <c:v>41.69</c:v>
                </c:pt>
                <c:pt idx="134">
                  <c:v>12.72</c:v>
                </c:pt>
                <c:pt idx="135">
                  <c:v>43.68</c:v>
                </c:pt>
                <c:pt idx="136">
                  <c:v>22.09</c:v>
                </c:pt>
                <c:pt idx="137">
                  <c:v>35.85</c:v>
                </c:pt>
                <c:pt idx="138">
                  <c:v>35.020000000000003</c:v>
                </c:pt>
                <c:pt idx="139">
                  <c:v>28.68</c:v>
                </c:pt>
                <c:pt idx="140">
                  <c:v>25.32</c:v>
                </c:pt>
                <c:pt idx="141">
                  <c:v>7.73</c:v>
                </c:pt>
                <c:pt idx="142">
                  <c:v>47.1</c:v>
                </c:pt>
                <c:pt idx="143">
                  <c:v>11.45</c:v>
                </c:pt>
                <c:pt idx="144">
                  <c:v>18.63</c:v>
                </c:pt>
                <c:pt idx="145">
                  <c:v>42.89</c:v>
                </c:pt>
                <c:pt idx="146">
                  <c:v>22.16</c:v>
                </c:pt>
                <c:pt idx="147">
                  <c:v>12.98</c:v>
                </c:pt>
                <c:pt idx="148">
                  <c:v>17.46</c:v>
                </c:pt>
                <c:pt idx="149">
                  <c:v>5.0199999999999996</c:v>
                </c:pt>
                <c:pt idx="150">
                  <c:v>37.64</c:v>
                </c:pt>
                <c:pt idx="151">
                  <c:v>32.74</c:v>
                </c:pt>
                <c:pt idx="152">
                  <c:v>47.85</c:v>
                </c:pt>
                <c:pt idx="153">
                  <c:v>18.78</c:v>
                </c:pt>
                <c:pt idx="154">
                  <c:v>33.65</c:v>
                </c:pt>
                <c:pt idx="155">
                  <c:v>51.27</c:v>
                </c:pt>
                <c:pt idx="156">
                  <c:v>39.9</c:v>
                </c:pt>
                <c:pt idx="157">
                  <c:v>39.08</c:v>
                </c:pt>
                <c:pt idx="158">
                  <c:v>46.73</c:v>
                </c:pt>
                <c:pt idx="159">
                  <c:v>44.41</c:v>
                </c:pt>
                <c:pt idx="160">
                  <c:v>16.53</c:v>
                </c:pt>
                <c:pt idx="161">
                  <c:v>38.96</c:v>
                </c:pt>
                <c:pt idx="162">
                  <c:v>34.76</c:v>
                </c:pt>
                <c:pt idx="163">
                  <c:v>11.73</c:v>
                </c:pt>
                <c:pt idx="164">
                  <c:v>45.38</c:v>
                </c:pt>
                <c:pt idx="165">
                  <c:v>6.76</c:v>
                </c:pt>
                <c:pt idx="166">
                  <c:v>15.96</c:v>
                </c:pt>
                <c:pt idx="167">
                  <c:v>27.34</c:v>
                </c:pt>
                <c:pt idx="168">
                  <c:v>23.67</c:v>
                </c:pt>
                <c:pt idx="169">
                  <c:v>15.11</c:v>
                </c:pt>
                <c:pt idx="170">
                  <c:v>24.83</c:v>
                </c:pt>
                <c:pt idx="171">
                  <c:v>53.89</c:v>
                </c:pt>
                <c:pt idx="172">
                  <c:v>19.52</c:v>
                </c:pt>
                <c:pt idx="173">
                  <c:v>1.39</c:v>
                </c:pt>
                <c:pt idx="174">
                  <c:v>30.64</c:v>
                </c:pt>
                <c:pt idx="175">
                  <c:v>13.42</c:v>
                </c:pt>
                <c:pt idx="176">
                  <c:v>51.11</c:v>
                </c:pt>
                <c:pt idx="177">
                  <c:v>21.71</c:v>
                </c:pt>
                <c:pt idx="178">
                  <c:v>37.119999999999997</c:v>
                </c:pt>
                <c:pt idx="179">
                  <c:v>15.84</c:v>
                </c:pt>
                <c:pt idx="180">
                  <c:v>8.4600000000000009</c:v>
                </c:pt>
                <c:pt idx="181">
                  <c:v>32.49</c:v>
                </c:pt>
                <c:pt idx="182">
                  <c:v>36.22</c:v>
                </c:pt>
                <c:pt idx="183">
                  <c:v>16.86</c:v>
                </c:pt>
                <c:pt idx="184">
                  <c:v>13.81</c:v>
                </c:pt>
                <c:pt idx="185">
                  <c:v>23.7</c:v>
                </c:pt>
                <c:pt idx="186">
                  <c:v>51.95</c:v>
                </c:pt>
                <c:pt idx="187">
                  <c:v>37.880000000000003</c:v>
                </c:pt>
                <c:pt idx="188">
                  <c:v>29.91</c:v>
                </c:pt>
                <c:pt idx="189">
                  <c:v>37.590000000000003</c:v>
                </c:pt>
                <c:pt idx="190">
                  <c:v>34.68</c:v>
                </c:pt>
                <c:pt idx="191">
                  <c:v>42.79</c:v>
                </c:pt>
                <c:pt idx="192">
                  <c:v>22.12</c:v>
                </c:pt>
                <c:pt idx="193">
                  <c:v>33.19</c:v>
                </c:pt>
                <c:pt idx="194">
                  <c:v>33.659999999999997</c:v>
                </c:pt>
                <c:pt idx="195">
                  <c:v>42.46</c:v>
                </c:pt>
                <c:pt idx="196">
                  <c:v>4.1900000000000004</c:v>
                </c:pt>
                <c:pt idx="197">
                  <c:v>16.489999999999998</c:v>
                </c:pt>
                <c:pt idx="198">
                  <c:v>19.920000000000002</c:v>
                </c:pt>
                <c:pt idx="199">
                  <c:v>49.38</c:v>
                </c:pt>
                <c:pt idx="200">
                  <c:v>17.75</c:v>
                </c:pt>
                <c:pt idx="201">
                  <c:v>32.36</c:v>
                </c:pt>
                <c:pt idx="202">
                  <c:v>53.52</c:v>
                </c:pt>
                <c:pt idx="203">
                  <c:v>13.2</c:v>
                </c:pt>
                <c:pt idx="204">
                  <c:v>2.74</c:v>
                </c:pt>
                <c:pt idx="205">
                  <c:v>22.19</c:v>
                </c:pt>
                <c:pt idx="206">
                  <c:v>55.69</c:v>
                </c:pt>
                <c:pt idx="207">
                  <c:v>49.79</c:v>
                </c:pt>
                <c:pt idx="208">
                  <c:v>28.35</c:v>
                </c:pt>
                <c:pt idx="209">
                  <c:v>44.26</c:v>
                </c:pt>
                <c:pt idx="210">
                  <c:v>19.170000000000002</c:v>
                </c:pt>
                <c:pt idx="211">
                  <c:v>36.4</c:v>
                </c:pt>
                <c:pt idx="212">
                  <c:v>41.79</c:v>
                </c:pt>
                <c:pt idx="213">
                  <c:v>42.05</c:v>
                </c:pt>
                <c:pt idx="214">
                  <c:v>11.61</c:v>
                </c:pt>
                <c:pt idx="215">
                  <c:v>33.44</c:v>
                </c:pt>
                <c:pt idx="216">
                  <c:v>49.03</c:v>
                </c:pt>
                <c:pt idx="217">
                  <c:v>12.05</c:v>
                </c:pt>
                <c:pt idx="218">
                  <c:v>54.38</c:v>
                </c:pt>
                <c:pt idx="219">
                  <c:v>52.43</c:v>
                </c:pt>
                <c:pt idx="220">
                  <c:v>7.04</c:v>
                </c:pt>
                <c:pt idx="221">
                  <c:v>38.130000000000003</c:v>
                </c:pt>
                <c:pt idx="222">
                  <c:v>56.89</c:v>
                </c:pt>
                <c:pt idx="223">
                  <c:v>43.13</c:v>
                </c:pt>
                <c:pt idx="224">
                  <c:v>40.5</c:v>
                </c:pt>
                <c:pt idx="225">
                  <c:v>54.28</c:v>
                </c:pt>
                <c:pt idx="226">
                  <c:v>59.19</c:v>
                </c:pt>
                <c:pt idx="227">
                  <c:v>29.01</c:v>
                </c:pt>
                <c:pt idx="228">
                  <c:v>55.88</c:v>
                </c:pt>
                <c:pt idx="229">
                  <c:v>57.73</c:v>
                </c:pt>
                <c:pt idx="230">
                  <c:v>1.64</c:v>
                </c:pt>
                <c:pt idx="231">
                  <c:v>2.61</c:v>
                </c:pt>
                <c:pt idx="232">
                  <c:v>2.95</c:v>
                </c:pt>
                <c:pt idx="233">
                  <c:v>18.78</c:v>
                </c:pt>
                <c:pt idx="234">
                  <c:v>55.16</c:v>
                </c:pt>
                <c:pt idx="235">
                  <c:v>7.13</c:v>
                </c:pt>
                <c:pt idx="236">
                  <c:v>53.86</c:v>
                </c:pt>
                <c:pt idx="237">
                  <c:v>26.99</c:v>
                </c:pt>
                <c:pt idx="238">
                  <c:v>1.05</c:v>
                </c:pt>
                <c:pt idx="239">
                  <c:v>59.49</c:v>
                </c:pt>
                <c:pt idx="240">
                  <c:v>29.7</c:v>
                </c:pt>
                <c:pt idx="241">
                  <c:v>13.49</c:v>
                </c:pt>
                <c:pt idx="242">
                  <c:v>27.91</c:v>
                </c:pt>
                <c:pt idx="243">
                  <c:v>20.79</c:v>
                </c:pt>
                <c:pt idx="244">
                  <c:v>25.55</c:v>
                </c:pt>
                <c:pt idx="245">
                  <c:v>58.62</c:v>
                </c:pt>
                <c:pt idx="246">
                  <c:v>48.5</c:v>
                </c:pt>
                <c:pt idx="247">
                  <c:v>12.8</c:v>
                </c:pt>
                <c:pt idx="248">
                  <c:v>25.67</c:v>
                </c:pt>
                <c:pt idx="249">
                  <c:v>15.62</c:v>
                </c:pt>
                <c:pt idx="250">
                  <c:v>44.17</c:v>
                </c:pt>
                <c:pt idx="251">
                  <c:v>51.75</c:v>
                </c:pt>
                <c:pt idx="252">
                  <c:v>37.520000000000003</c:v>
                </c:pt>
                <c:pt idx="253">
                  <c:v>17.350000000000001</c:v>
                </c:pt>
                <c:pt idx="254">
                  <c:v>18.010000000000002</c:v>
                </c:pt>
                <c:pt idx="255">
                  <c:v>56.89</c:v>
                </c:pt>
                <c:pt idx="256">
                  <c:v>27.9</c:v>
                </c:pt>
                <c:pt idx="257">
                  <c:v>27.45</c:v>
                </c:pt>
                <c:pt idx="258">
                  <c:v>48.17</c:v>
                </c:pt>
                <c:pt idx="259">
                  <c:v>5.93</c:v>
                </c:pt>
                <c:pt idx="260">
                  <c:v>43.94</c:v>
                </c:pt>
                <c:pt idx="261">
                  <c:v>1.39</c:v>
                </c:pt>
                <c:pt idx="262">
                  <c:v>50.21</c:v>
                </c:pt>
                <c:pt idx="263">
                  <c:v>44.24</c:v>
                </c:pt>
                <c:pt idx="264">
                  <c:v>10.86</c:v>
                </c:pt>
                <c:pt idx="265">
                  <c:v>53.92</c:v>
                </c:pt>
                <c:pt idx="266">
                  <c:v>42.88</c:v>
                </c:pt>
                <c:pt idx="267">
                  <c:v>8.02</c:v>
                </c:pt>
                <c:pt idx="268">
                  <c:v>34.64</c:v>
                </c:pt>
                <c:pt idx="269">
                  <c:v>26.02</c:v>
                </c:pt>
                <c:pt idx="270">
                  <c:v>26.25</c:v>
                </c:pt>
                <c:pt idx="271">
                  <c:v>20.98</c:v>
                </c:pt>
                <c:pt idx="272">
                  <c:v>8.2100000000000009</c:v>
                </c:pt>
                <c:pt idx="273">
                  <c:v>29.92</c:v>
                </c:pt>
                <c:pt idx="274">
                  <c:v>23.95</c:v>
                </c:pt>
                <c:pt idx="275">
                  <c:v>48.76</c:v>
                </c:pt>
                <c:pt idx="276">
                  <c:v>25.92</c:v>
                </c:pt>
                <c:pt idx="277">
                  <c:v>38.479999999999997</c:v>
                </c:pt>
                <c:pt idx="278">
                  <c:v>18.809999999999999</c:v>
                </c:pt>
                <c:pt idx="279">
                  <c:v>37.24</c:v>
                </c:pt>
                <c:pt idx="280">
                  <c:v>36.47</c:v>
                </c:pt>
                <c:pt idx="281">
                  <c:v>2.17</c:v>
                </c:pt>
                <c:pt idx="282">
                  <c:v>15.85</c:v>
                </c:pt>
                <c:pt idx="283">
                  <c:v>19.670000000000002</c:v>
                </c:pt>
                <c:pt idx="284">
                  <c:v>22.4</c:v>
                </c:pt>
                <c:pt idx="285">
                  <c:v>17.170000000000002</c:v>
                </c:pt>
                <c:pt idx="286">
                  <c:v>11.84</c:v>
                </c:pt>
                <c:pt idx="287">
                  <c:v>35.979999999999997</c:v>
                </c:pt>
                <c:pt idx="288">
                  <c:v>36.42</c:v>
                </c:pt>
                <c:pt idx="289">
                  <c:v>36.4</c:v>
                </c:pt>
                <c:pt idx="290">
                  <c:v>42.79</c:v>
                </c:pt>
                <c:pt idx="291">
                  <c:v>34.01</c:v>
                </c:pt>
                <c:pt idx="292">
                  <c:v>45.92</c:v>
                </c:pt>
                <c:pt idx="293">
                  <c:v>27.05</c:v>
                </c:pt>
                <c:pt idx="294">
                  <c:v>55.3</c:v>
                </c:pt>
                <c:pt idx="295">
                  <c:v>39.71</c:v>
                </c:pt>
                <c:pt idx="296">
                  <c:v>17.809999999999999</c:v>
                </c:pt>
                <c:pt idx="297">
                  <c:v>37.21</c:v>
                </c:pt>
                <c:pt idx="298">
                  <c:v>31.86</c:v>
                </c:pt>
                <c:pt idx="299">
                  <c:v>52.72</c:v>
                </c:pt>
                <c:pt idx="300">
                  <c:v>41.81</c:v>
                </c:pt>
                <c:pt idx="301">
                  <c:v>9.56</c:v>
                </c:pt>
                <c:pt idx="302">
                  <c:v>7.06</c:v>
                </c:pt>
                <c:pt idx="303">
                  <c:v>16.8</c:v>
                </c:pt>
                <c:pt idx="304">
                  <c:v>43.65</c:v>
                </c:pt>
                <c:pt idx="305">
                  <c:v>3.78</c:v>
                </c:pt>
                <c:pt idx="306">
                  <c:v>41.71</c:v>
                </c:pt>
                <c:pt idx="307">
                  <c:v>42.77</c:v>
                </c:pt>
                <c:pt idx="308">
                  <c:v>9.94</c:v>
                </c:pt>
                <c:pt idx="309">
                  <c:v>4.63</c:v>
                </c:pt>
                <c:pt idx="310">
                  <c:v>55.3</c:v>
                </c:pt>
                <c:pt idx="311">
                  <c:v>6.48</c:v>
                </c:pt>
                <c:pt idx="312">
                  <c:v>34.770000000000003</c:v>
                </c:pt>
                <c:pt idx="313">
                  <c:v>12.36</c:v>
                </c:pt>
                <c:pt idx="314">
                  <c:v>56.91</c:v>
                </c:pt>
                <c:pt idx="315">
                  <c:v>18.079999999999998</c:v>
                </c:pt>
                <c:pt idx="316">
                  <c:v>19.27</c:v>
                </c:pt>
                <c:pt idx="317">
                  <c:v>53.5</c:v>
                </c:pt>
                <c:pt idx="318">
                  <c:v>32.369999999999997</c:v>
                </c:pt>
                <c:pt idx="319">
                  <c:v>32.96</c:v>
                </c:pt>
                <c:pt idx="320">
                  <c:v>35.57</c:v>
                </c:pt>
                <c:pt idx="321">
                  <c:v>5.95</c:v>
                </c:pt>
                <c:pt idx="322">
                  <c:v>41.11</c:v>
                </c:pt>
                <c:pt idx="323">
                  <c:v>38.47</c:v>
                </c:pt>
                <c:pt idx="324">
                  <c:v>5.79</c:v>
                </c:pt>
                <c:pt idx="325">
                  <c:v>45.74</c:v>
                </c:pt>
                <c:pt idx="326">
                  <c:v>11.06</c:v>
                </c:pt>
                <c:pt idx="327">
                  <c:v>53.09</c:v>
                </c:pt>
                <c:pt idx="328">
                  <c:v>20.74</c:v>
                </c:pt>
                <c:pt idx="329">
                  <c:v>50.11</c:v>
                </c:pt>
                <c:pt idx="330">
                  <c:v>26.47</c:v>
                </c:pt>
                <c:pt idx="331">
                  <c:v>35.68</c:v>
                </c:pt>
                <c:pt idx="332">
                  <c:v>53.22</c:v>
                </c:pt>
                <c:pt idx="333">
                  <c:v>41.99</c:v>
                </c:pt>
                <c:pt idx="334">
                  <c:v>20.56</c:v>
                </c:pt>
                <c:pt idx="335">
                  <c:v>33.71</c:v>
                </c:pt>
                <c:pt idx="336">
                  <c:v>7.99</c:v>
                </c:pt>
                <c:pt idx="337">
                  <c:v>53.26</c:v>
                </c:pt>
                <c:pt idx="338">
                  <c:v>35.450000000000003</c:v>
                </c:pt>
                <c:pt idx="339">
                  <c:v>28.58</c:v>
                </c:pt>
                <c:pt idx="340">
                  <c:v>20.420000000000002</c:v>
                </c:pt>
                <c:pt idx="341">
                  <c:v>31.24</c:v>
                </c:pt>
                <c:pt idx="342">
                  <c:v>23.1</c:v>
                </c:pt>
                <c:pt idx="343">
                  <c:v>36.57</c:v>
                </c:pt>
                <c:pt idx="344">
                  <c:v>17.739999999999998</c:v>
                </c:pt>
                <c:pt idx="345">
                  <c:v>29.01</c:v>
                </c:pt>
                <c:pt idx="346">
                  <c:v>55.21</c:v>
                </c:pt>
                <c:pt idx="347">
                  <c:v>18.22</c:v>
                </c:pt>
                <c:pt idx="348">
                  <c:v>45</c:v>
                </c:pt>
                <c:pt idx="349">
                  <c:v>32.54</c:v>
                </c:pt>
                <c:pt idx="350">
                  <c:v>3.87</c:v>
                </c:pt>
                <c:pt idx="351">
                  <c:v>20.03</c:v>
                </c:pt>
                <c:pt idx="352">
                  <c:v>36.33</c:v>
                </c:pt>
                <c:pt idx="353">
                  <c:v>20.77</c:v>
                </c:pt>
                <c:pt idx="354">
                  <c:v>3.24</c:v>
                </c:pt>
                <c:pt idx="355">
                  <c:v>48.28</c:v>
                </c:pt>
                <c:pt idx="356">
                  <c:v>19.37</c:v>
                </c:pt>
                <c:pt idx="357">
                  <c:v>2.17</c:v>
                </c:pt>
                <c:pt idx="358">
                  <c:v>24.86</c:v>
                </c:pt>
                <c:pt idx="359">
                  <c:v>42.08</c:v>
                </c:pt>
                <c:pt idx="360">
                  <c:v>6.45</c:v>
                </c:pt>
                <c:pt idx="361">
                  <c:v>46.82</c:v>
                </c:pt>
                <c:pt idx="362">
                  <c:v>27.58</c:v>
                </c:pt>
                <c:pt idx="363">
                  <c:v>6.95</c:v>
                </c:pt>
                <c:pt idx="364">
                  <c:v>56.51</c:v>
                </c:pt>
                <c:pt idx="365">
                  <c:v>29.03</c:v>
                </c:pt>
                <c:pt idx="366">
                  <c:v>42.26</c:v>
                </c:pt>
                <c:pt idx="367">
                  <c:v>15.36</c:v>
                </c:pt>
                <c:pt idx="368">
                  <c:v>41.81</c:v>
                </c:pt>
                <c:pt idx="369">
                  <c:v>12.1</c:v>
                </c:pt>
                <c:pt idx="370">
                  <c:v>51.28</c:v>
                </c:pt>
                <c:pt idx="371">
                  <c:v>18.2</c:v>
                </c:pt>
                <c:pt idx="372">
                  <c:v>40.99</c:v>
                </c:pt>
                <c:pt idx="373">
                  <c:v>18.170000000000002</c:v>
                </c:pt>
                <c:pt idx="374">
                  <c:v>20.97</c:v>
                </c:pt>
                <c:pt idx="375">
                  <c:v>8.08</c:v>
                </c:pt>
                <c:pt idx="376">
                  <c:v>11.91</c:v>
                </c:pt>
                <c:pt idx="377">
                  <c:v>8.26</c:v>
                </c:pt>
                <c:pt idx="378">
                  <c:v>35.04</c:v>
                </c:pt>
                <c:pt idx="379">
                  <c:v>23.52</c:v>
                </c:pt>
                <c:pt idx="380">
                  <c:v>26.58</c:v>
                </c:pt>
                <c:pt idx="381">
                  <c:v>11.37</c:v>
                </c:pt>
                <c:pt idx="382">
                  <c:v>8.5299999999999994</c:v>
                </c:pt>
                <c:pt idx="383">
                  <c:v>56.55</c:v>
                </c:pt>
                <c:pt idx="384">
                  <c:v>31.01</c:v>
                </c:pt>
                <c:pt idx="385">
                  <c:v>36.94</c:v>
                </c:pt>
                <c:pt idx="386">
                  <c:v>18.11</c:v>
                </c:pt>
                <c:pt idx="387">
                  <c:v>43.62</c:v>
                </c:pt>
                <c:pt idx="388">
                  <c:v>26.92</c:v>
                </c:pt>
                <c:pt idx="389">
                  <c:v>8.52</c:v>
                </c:pt>
                <c:pt idx="390">
                  <c:v>17.649999999999999</c:v>
                </c:pt>
                <c:pt idx="391">
                  <c:v>9.77</c:v>
                </c:pt>
                <c:pt idx="392">
                  <c:v>56.63</c:v>
                </c:pt>
                <c:pt idx="393">
                  <c:v>44.73</c:v>
                </c:pt>
                <c:pt idx="394">
                  <c:v>21.23</c:v>
                </c:pt>
                <c:pt idx="395">
                  <c:v>57.18</c:v>
                </c:pt>
                <c:pt idx="396">
                  <c:v>13.21</c:v>
                </c:pt>
                <c:pt idx="397">
                  <c:v>8.84</c:v>
                </c:pt>
                <c:pt idx="398">
                  <c:v>13.94</c:v>
                </c:pt>
                <c:pt idx="399">
                  <c:v>24.33</c:v>
                </c:pt>
                <c:pt idx="400">
                  <c:v>26.15</c:v>
                </c:pt>
                <c:pt idx="401">
                  <c:v>57.49</c:v>
                </c:pt>
                <c:pt idx="402">
                  <c:v>50.34</c:v>
                </c:pt>
                <c:pt idx="403">
                  <c:v>55.47</c:v>
                </c:pt>
                <c:pt idx="404">
                  <c:v>1.1299999999999999</c:v>
                </c:pt>
                <c:pt idx="405">
                  <c:v>36.5</c:v>
                </c:pt>
                <c:pt idx="406">
                  <c:v>2.0099999999999998</c:v>
                </c:pt>
                <c:pt idx="407">
                  <c:v>9.44</c:v>
                </c:pt>
                <c:pt idx="408">
                  <c:v>56.97</c:v>
                </c:pt>
                <c:pt idx="409">
                  <c:v>14.41</c:v>
                </c:pt>
                <c:pt idx="410">
                  <c:v>22.91</c:v>
                </c:pt>
                <c:pt idx="411">
                  <c:v>59.19</c:v>
                </c:pt>
                <c:pt idx="412">
                  <c:v>47.96</c:v>
                </c:pt>
                <c:pt idx="413">
                  <c:v>27.4</c:v>
                </c:pt>
                <c:pt idx="414">
                  <c:v>53.8</c:v>
                </c:pt>
                <c:pt idx="415">
                  <c:v>17.91</c:v>
                </c:pt>
                <c:pt idx="416">
                  <c:v>7.21</c:v>
                </c:pt>
                <c:pt idx="417">
                  <c:v>29.69</c:v>
                </c:pt>
                <c:pt idx="418">
                  <c:v>16.920000000000002</c:v>
                </c:pt>
                <c:pt idx="419">
                  <c:v>41.63</c:v>
                </c:pt>
                <c:pt idx="420">
                  <c:v>9.6999999999999993</c:v>
                </c:pt>
                <c:pt idx="421">
                  <c:v>58.32</c:v>
                </c:pt>
                <c:pt idx="422">
                  <c:v>10.6</c:v>
                </c:pt>
                <c:pt idx="423">
                  <c:v>30.69</c:v>
                </c:pt>
                <c:pt idx="424">
                  <c:v>52.89</c:v>
                </c:pt>
                <c:pt idx="425">
                  <c:v>49.88</c:v>
                </c:pt>
                <c:pt idx="426">
                  <c:v>13.02</c:v>
                </c:pt>
                <c:pt idx="427">
                  <c:v>47.01</c:v>
                </c:pt>
                <c:pt idx="428">
                  <c:v>29.97</c:v>
                </c:pt>
                <c:pt idx="429">
                  <c:v>1.3</c:v>
                </c:pt>
                <c:pt idx="430">
                  <c:v>39.46</c:v>
                </c:pt>
                <c:pt idx="431">
                  <c:v>17.03</c:v>
                </c:pt>
                <c:pt idx="432">
                  <c:v>26.33</c:v>
                </c:pt>
                <c:pt idx="433">
                  <c:v>56.82</c:v>
                </c:pt>
                <c:pt idx="434">
                  <c:v>47.21</c:v>
                </c:pt>
                <c:pt idx="435">
                  <c:v>3.78</c:v>
                </c:pt>
                <c:pt idx="436">
                  <c:v>54.26</c:v>
                </c:pt>
                <c:pt idx="437">
                  <c:v>51.15</c:v>
                </c:pt>
                <c:pt idx="438">
                  <c:v>5.43</c:v>
                </c:pt>
                <c:pt idx="439">
                  <c:v>52.19</c:v>
                </c:pt>
                <c:pt idx="440">
                  <c:v>5.96</c:v>
                </c:pt>
                <c:pt idx="441">
                  <c:v>13.95</c:v>
                </c:pt>
                <c:pt idx="442">
                  <c:v>6.56</c:v>
                </c:pt>
                <c:pt idx="443">
                  <c:v>36.04</c:v>
                </c:pt>
                <c:pt idx="444">
                  <c:v>29.7</c:v>
                </c:pt>
                <c:pt idx="445">
                  <c:v>44.71</c:v>
                </c:pt>
                <c:pt idx="446">
                  <c:v>12.24</c:v>
                </c:pt>
                <c:pt idx="447">
                  <c:v>1.92</c:v>
                </c:pt>
                <c:pt idx="448">
                  <c:v>35.520000000000003</c:v>
                </c:pt>
                <c:pt idx="449">
                  <c:v>33.700000000000003</c:v>
                </c:pt>
                <c:pt idx="450">
                  <c:v>57.48</c:v>
                </c:pt>
                <c:pt idx="451">
                  <c:v>49.96</c:v>
                </c:pt>
                <c:pt idx="452">
                  <c:v>19.34</c:v>
                </c:pt>
                <c:pt idx="453">
                  <c:v>33.25</c:v>
                </c:pt>
                <c:pt idx="454">
                  <c:v>48.18</c:v>
                </c:pt>
                <c:pt idx="455">
                  <c:v>51.79</c:v>
                </c:pt>
                <c:pt idx="456">
                  <c:v>11.64</c:v>
                </c:pt>
                <c:pt idx="457">
                  <c:v>55.11</c:v>
                </c:pt>
                <c:pt idx="458">
                  <c:v>34.85</c:v>
                </c:pt>
                <c:pt idx="459">
                  <c:v>11.93</c:v>
                </c:pt>
                <c:pt idx="460">
                  <c:v>14.6</c:v>
                </c:pt>
                <c:pt idx="461">
                  <c:v>28.78</c:v>
                </c:pt>
                <c:pt idx="462">
                  <c:v>3.09</c:v>
                </c:pt>
                <c:pt idx="463">
                  <c:v>47.12</c:v>
                </c:pt>
                <c:pt idx="464">
                  <c:v>6.43</c:v>
                </c:pt>
                <c:pt idx="465">
                  <c:v>5.51</c:v>
                </c:pt>
                <c:pt idx="466">
                  <c:v>13.01</c:v>
                </c:pt>
                <c:pt idx="467">
                  <c:v>4.5199999999999996</c:v>
                </c:pt>
                <c:pt idx="468">
                  <c:v>13.77</c:v>
                </c:pt>
                <c:pt idx="469">
                  <c:v>28.57</c:v>
                </c:pt>
                <c:pt idx="470">
                  <c:v>16.600000000000001</c:v>
                </c:pt>
                <c:pt idx="471">
                  <c:v>38.18</c:v>
                </c:pt>
                <c:pt idx="472">
                  <c:v>21.63</c:v>
                </c:pt>
                <c:pt idx="473">
                  <c:v>10.46</c:v>
                </c:pt>
                <c:pt idx="474">
                  <c:v>57.55</c:v>
                </c:pt>
                <c:pt idx="475">
                  <c:v>27.89</c:v>
                </c:pt>
                <c:pt idx="476">
                  <c:v>35.49</c:v>
                </c:pt>
                <c:pt idx="477">
                  <c:v>3.01</c:v>
                </c:pt>
                <c:pt idx="478">
                  <c:v>57.04</c:v>
                </c:pt>
                <c:pt idx="479">
                  <c:v>6.72</c:v>
                </c:pt>
                <c:pt idx="480">
                  <c:v>17.8</c:v>
                </c:pt>
                <c:pt idx="481">
                  <c:v>1.39</c:v>
                </c:pt>
                <c:pt idx="482">
                  <c:v>48.41</c:v>
                </c:pt>
                <c:pt idx="483">
                  <c:v>56.99</c:v>
                </c:pt>
                <c:pt idx="484">
                  <c:v>42.88</c:v>
                </c:pt>
                <c:pt idx="485">
                  <c:v>53.9</c:v>
                </c:pt>
                <c:pt idx="486">
                  <c:v>51.2</c:v>
                </c:pt>
                <c:pt idx="487">
                  <c:v>37.03</c:v>
                </c:pt>
                <c:pt idx="488">
                  <c:v>25.39</c:v>
                </c:pt>
                <c:pt idx="489">
                  <c:v>52.71</c:v>
                </c:pt>
                <c:pt idx="490">
                  <c:v>6.88</c:v>
                </c:pt>
                <c:pt idx="491">
                  <c:v>46.49</c:v>
                </c:pt>
                <c:pt idx="492">
                  <c:v>25.3</c:v>
                </c:pt>
                <c:pt idx="493">
                  <c:v>26.11</c:v>
                </c:pt>
                <c:pt idx="494">
                  <c:v>52.92</c:v>
                </c:pt>
                <c:pt idx="495">
                  <c:v>1.58</c:v>
                </c:pt>
                <c:pt idx="496">
                  <c:v>52.21</c:v>
                </c:pt>
                <c:pt idx="497">
                  <c:v>17.350000000000001</c:v>
                </c:pt>
                <c:pt idx="498">
                  <c:v>30.52</c:v>
                </c:pt>
                <c:pt idx="499">
                  <c:v>33.909999999999997</c:v>
                </c:pt>
                <c:pt idx="500">
                  <c:v>6.55</c:v>
                </c:pt>
                <c:pt idx="501">
                  <c:v>39.200000000000003</c:v>
                </c:pt>
                <c:pt idx="502">
                  <c:v>20.62</c:v>
                </c:pt>
                <c:pt idx="503">
                  <c:v>25.14</c:v>
                </c:pt>
                <c:pt idx="504">
                  <c:v>23.09</c:v>
                </c:pt>
                <c:pt idx="505">
                  <c:v>42.15</c:v>
                </c:pt>
                <c:pt idx="506">
                  <c:v>33.54</c:v>
                </c:pt>
                <c:pt idx="507">
                  <c:v>10.36</c:v>
                </c:pt>
                <c:pt idx="508">
                  <c:v>58.27</c:v>
                </c:pt>
                <c:pt idx="509">
                  <c:v>58.24</c:v>
                </c:pt>
                <c:pt idx="510">
                  <c:v>33.43</c:v>
                </c:pt>
                <c:pt idx="511">
                  <c:v>58.23</c:v>
                </c:pt>
                <c:pt idx="512">
                  <c:v>40.83</c:v>
                </c:pt>
                <c:pt idx="513">
                  <c:v>24.7</c:v>
                </c:pt>
                <c:pt idx="514">
                  <c:v>42.74</c:v>
                </c:pt>
                <c:pt idx="515">
                  <c:v>27.35</c:v>
                </c:pt>
                <c:pt idx="516">
                  <c:v>34.57</c:v>
                </c:pt>
                <c:pt idx="517">
                  <c:v>57.93</c:v>
                </c:pt>
                <c:pt idx="518">
                  <c:v>25.02</c:v>
                </c:pt>
                <c:pt idx="519">
                  <c:v>1.74</c:v>
                </c:pt>
                <c:pt idx="520">
                  <c:v>19.600000000000001</c:v>
                </c:pt>
                <c:pt idx="521">
                  <c:v>34.67</c:v>
                </c:pt>
                <c:pt idx="522">
                  <c:v>49.73</c:v>
                </c:pt>
                <c:pt idx="523">
                  <c:v>44.19</c:v>
                </c:pt>
                <c:pt idx="524">
                  <c:v>20.04</c:v>
                </c:pt>
                <c:pt idx="525">
                  <c:v>40.93</c:v>
                </c:pt>
                <c:pt idx="526">
                  <c:v>24.56</c:v>
                </c:pt>
                <c:pt idx="527">
                  <c:v>42.83</c:v>
                </c:pt>
                <c:pt idx="528">
                  <c:v>43.06</c:v>
                </c:pt>
                <c:pt idx="529">
                  <c:v>35.64</c:v>
                </c:pt>
                <c:pt idx="530">
                  <c:v>34.590000000000003</c:v>
                </c:pt>
                <c:pt idx="531">
                  <c:v>44.62</c:v>
                </c:pt>
                <c:pt idx="532">
                  <c:v>32.67</c:v>
                </c:pt>
                <c:pt idx="533">
                  <c:v>27.91</c:v>
                </c:pt>
                <c:pt idx="534">
                  <c:v>58.48</c:v>
                </c:pt>
                <c:pt idx="535">
                  <c:v>34.68</c:v>
                </c:pt>
                <c:pt idx="536">
                  <c:v>49.92</c:v>
                </c:pt>
                <c:pt idx="537">
                  <c:v>23.56</c:v>
                </c:pt>
                <c:pt idx="538">
                  <c:v>23.12</c:v>
                </c:pt>
                <c:pt idx="539">
                  <c:v>16.38</c:v>
                </c:pt>
                <c:pt idx="540">
                  <c:v>45.1</c:v>
                </c:pt>
                <c:pt idx="541">
                  <c:v>34.35</c:v>
                </c:pt>
                <c:pt idx="542">
                  <c:v>21.05</c:v>
                </c:pt>
                <c:pt idx="543">
                  <c:v>52.93</c:v>
                </c:pt>
                <c:pt idx="544">
                  <c:v>46.56</c:v>
                </c:pt>
                <c:pt idx="545">
                  <c:v>45.63</c:v>
                </c:pt>
                <c:pt idx="546">
                  <c:v>26.61</c:v>
                </c:pt>
                <c:pt idx="547">
                  <c:v>52.11</c:v>
                </c:pt>
                <c:pt idx="548">
                  <c:v>47.21</c:v>
                </c:pt>
                <c:pt idx="549">
                  <c:v>8.93</c:v>
                </c:pt>
                <c:pt idx="550">
                  <c:v>6.59</c:v>
                </c:pt>
                <c:pt idx="551">
                  <c:v>54.45</c:v>
                </c:pt>
                <c:pt idx="552">
                  <c:v>7.95</c:v>
                </c:pt>
                <c:pt idx="553">
                  <c:v>49.97</c:v>
                </c:pt>
                <c:pt idx="554">
                  <c:v>47.01</c:v>
                </c:pt>
                <c:pt idx="555">
                  <c:v>3.89</c:v>
                </c:pt>
                <c:pt idx="556">
                  <c:v>10.45</c:v>
                </c:pt>
                <c:pt idx="557">
                  <c:v>45.87</c:v>
                </c:pt>
                <c:pt idx="558">
                  <c:v>7.66</c:v>
                </c:pt>
                <c:pt idx="559">
                  <c:v>54.37</c:v>
                </c:pt>
                <c:pt idx="560">
                  <c:v>40.380000000000003</c:v>
                </c:pt>
                <c:pt idx="561">
                  <c:v>48.5</c:v>
                </c:pt>
                <c:pt idx="562">
                  <c:v>59.46</c:v>
                </c:pt>
                <c:pt idx="563">
                  <c:v>38.72</c:v>
                </c:pt>
                <c:pt idx="564">
                  <c:v>24.48</c:v>
                </c:pt>
                <c:pt idx="565">
                  <c:v>27.11</c:v>
                </c:pt>
                <c:pt idx="566">
                  <c:v>25.32</c:v>
                </c:pt>
                <c:pt idx="567">
                  <c:v>15.56</c:v>
                </c:pt>
                <c:pt idx="568">
                  <c:v>2.2999999999999998</c:v>
                </c:pt>
                <c:pt idx="569">
                  <c:v>40.799999999999997</c:v>
                </c:pt>
                <c:pt idx="570">
                  <c:v>46.64</c:v>
                </c:pt>
                <c:pt idx="571">
                  <c:v>6.35</c:v>
                </c:pt>
                <c:pt idx="572">
                  <c:v>34.51</c:v>
                </c:pt>
                <c:pt idx="573">
                  <c:v>56.17</c:v>
                </c:pt>
                <c:pt idx="574">
                  <c:v>40.450000000000003</c:v>
                </c:pt>
                <c:pt idx="575">
                  <c:v>42.42</c:v>
                </c:pt>
                <c:pt idx="576">
                  <c:v>4.25</c:v>
                </c:pt>
                <c:pt idx="577">
                  <c:v>31.01</c:v>
                </c:pt>
                <c:pt idx="578">
                  <c:v>20.51</c:v>
                </c:pt>
                <c:pt idx="579">
                  <c:v>49.58</c:v>
                </c:pt>
                <c:pt idx="580">
                  <c:v>57.35</c:v>
                </c:pt>
                <c:pt idx="581">
                  <c:v>5.93</c:v>
                </c:pt>
                <c:pt idx="582">
                  <c:v>54.18</c:v>
                </c:pt>
                <c:pt idx="583">
                  <c:v>37.49</c:v>
                </c:pt>
                <c:pt idx="584">
                  <c:v>23.77</c:v>
                </c:pt>
                <c:pt idx="585">
                  <c:v>26.47</c:v>
                </c:pt>
                <c:pt idx="586">
                  <c:v>15.51</c:v>
                </c:pt>
                <c:pt idx="587">
                  <c:v>33.54</c:v>
                </c:pt>
                <c:pt idx="588">
                  <c:v>55.93</c:v>
                </c:pt>
                <c:pt idx="589">
                  <c:v>37.76</c:v>
                </c:pt>
                <c:pt idx="590">
                  <c:v>40.159999999999997</c:v>
                </c:pt>
                <c:pt idx="591">
                  <c:v>22.82</c:v>
                </c:pt>
                <c:pt idx="592">
                  <c:v>15.91</c:v>
                </c:pt>
                <c:pt idx="593">
                  <c:v>37.82</c:v>
                </c:pt>
                <c:pt idx="594">
                  <c:v>54.88</c:v>
                </c:pt>
                <c:pt idx="595">
                  <c:v>37.42</c:v>
                </c:pt>
                <c:pt idx="596">
                  <c:v>32.229999999999997</c:v>
                </c:pt>
                <c:pt idx="597">
                  <c:v>51.06</c:v>
                </c:pt>
                <c:pt idx="598">
                  <c:v>4.5599999999999996</c:v>
                </c:pt>
                <c:pt idx="599">
                  <c:v>18.71</c:v>
                </c:pt>
                <c:pt idx="600">
                  <c:v>19.68</c:v>
                </c:pt>
                <c:pt idx="601">
                  <c:v>29.7</c:v>
                </c:pt>
                <c:pt idx="602">
                  <c:v>26.31</c:v>
                </c:pt>
                <c:pt idx="603">
                  <c:v>33.74</c:v>
                </c:pt>
                <c:pt idx="604">
                  <c:v>29.96</c:v>
                </c:pt>
                <c:pt idx="605">
                  <c:v>36.68</c:v>
                </c:pt>
                <c:pt idx="606">
                  <c:v>45.97</c:v>
                </c:pt>
                <c:pt idx="607">
                  <c:v>19.600000000000001</c:v>
                </c:pt>
                <c:pt idx="608">
                  <c:v>56.46</c:v>
                </c:pt>
                <c:pt idx="609">
                  <c:v>41.32</c:v>
                </c:pt>
                <c:pt idx="610">
                  <c:v>35.78</c:v>
                </c:pt>
                <c:pt idx="611">
                  <c:v>20.29</c:v>
                </c:pt>
                <c:pt idx="612">
                  <c:v>49.25</c:v>
                </c:pt>
                <c:pt idx="613">
                  <c:v>36.200000000000003</c:v>
                </c:pt>
                <c:pt idx="614">
                  <c:v>5.49</c:v>
                </c:pt>
                <c:pt idx="615">
                  <c:v>53.29</c:v>
                </c:pt>
                <c:pt idx="616">
                  <c:v>43.41</c:v>
                </c:pt>
                <c:pt idx="617">
                  <c:v>49.41</c:v>
                </c:pt>
                <c:pt idx="618">
                  <c:v>53.19</c:v>
                </c:pt>
                <c:pt idx="619">
                  <c:v>5.82</c:v>
                </c:pt>
                <c:pt idx="620">
                  <c:v>35.04</c:v>
                </c:pt>
                <c:pt idx="621">
                  <c:v>6.7</c:v>
                </c:pt>
                <c:pt idx="622">
                  <c:v>37.270000000000003</c:v>
                </c:pt>
                <c:pt idx="623">
                  <c:v>29.01</c:v>
                </c:pt>
                <c:pt idx="624">
                  <c:v>5.08</c:v>
                </c:pt>
                <c:pt idx="625">
                  <c:v>15.69</c:v>
                </c:pt>
                <c:pt idx="626">
                  <c:v>30.27</c:v>
                </c:pt>
                <c:pt idx="627">
                  <c:v>10.56</c:v>
                </c:pt>
                <c:pt idx="628">
                  <c:v>40.28</c:v>
                </c:pt>
                <c:pt idx="629">
                  <c:v>31.28</c:v>
                </c:pt>
                <c:pt idx="630">
                  <c:v>8.51</c:v>
                </c:pt>
                <c:pt idx="631">
                  <c:v>59.2</c:v>
                </c:pt>
                <c:pt idx="632">
                  <c:v>37.36</c:v>
                </c:pt>
                <c:pt idx="633">
                  <c:v>9.2200000000000006</c:v>
                </c:pt>
                <c:pt idx="634">
                  <c:v>29.57</c:v>
                </c:pt>
                <c:pt idx="635">
                  <c:v>4.01</c:v>
                </c:pt>
                <c:pt idx="636">
                  <c:v>39.950000000000003</c:v>
                </c:pt>
                <c:pt idx="637">
                  <c:v>57.3</c:v>
                </c:pt>
                <c:pt idx="638">
                  <c:v>5.84</c:v>
                </c:pt>
                <c:pt idx="639">
                  <c:v>42.23</c:v>
                </c:pt>
                <c:pt idx="640">
                  <c:v>29.96</c:v>
                </c:pt>
                <c:pt idx="641">
                  <c:v>6.45</c:v>
                </c:pt>
                <c:pt idx="642">
                  <c:v>11.38</c:v>
                </c:pt>
                <c:pt idx="643">
                  <c:v>20.2</c:v>
                </c:pt>
                <c:pt idx="644">
                  <c:v>4.96</c:v>
                </c:pt>
                <c:pt idx="645">
                  <c:v>30.48</c:v>
                </c:pt>
                <c:pt idx="646">
                  <c:v>18.809999999999999</c:v>
                </c:pt>
                <c:pt idx="647">
                  <c:v>26.57</c:v>
                </c:pt>
                <c:pt idx="648">
                  <c:v>24.8</c:v>
                </c:pt>
                <c:pt idx="649">
                  <c:v>26.95</c:v>
                </c:pt>
                <c:pt idx="650">
                  <c:v>10.64</c:v>
                </c:pt>
                <c:pt idx="651">
                  <c:v>40.22</c:v>
                </c:pt>
                <c:pt idx="652">
                  <c:v>33.74</c:v>
                </c:pt>
                <c:pt idx="653">
                  <c:v>26.49</c:v>
                </c:pt>
                <c:pt idx="654">
                  <c:v>5.84</c:v>
                </c:pt>
                <c:pt idx="655">
                  <c:v>53.67</c:v>
                </c:pt>
                <c:pt idx="656">
                  <c:v>38.96</c:v>
                </c:pt>
                <c:pt idx="657">
                  <c:v>15.2</c:v>
                </c:pt>
                <c:pt idx="658">
                  <c:v>56.3</c:v>
                </c:pt>
                <c:pt idx="659">
                  <c:v>19.57</c:v>
                </c:pt>
                <c:pt idx="660">
                  <c:v>21.23</c:v>
                </c:pt>
                <c:pt idx="661">
                  <c:v>57.87</c:v>
                </c:pt>
                <c:pt idx="662">
                  <c:v>49.18</c:v>
                </c:pt>
                <c:pt idx="663">
                  <c:v>47.48</c:v>
                </c:pt>
                <c:pt idx="664">
                  <c:v>55.92</c:v>
                </c:pt>
                <c:pt idx="665">
                  <c:v>46.44</c:v>
                </c:pt>
                <c:pt idx="666">
                  <c:v>54.91</c:v>
                </c:pt>
                <c:pt idx="667">
                  <c:v>37.64</c:v>
                </c:pt>
                <c:pt idx="668">
                  <c:v>25.51</c:v>
                </c:pt>
                <c:pt idx="669">
                  <c:v>26.11</c:v>
                </c:pt>
                <c:pt idx="670">
                  <c:v>52.29</c:v>
                </c:pt>
                <c:pt idx="671">
                  <c:v>52.34</c:v>
                </c:pt>
                <c:pt idx="672">
                  <c:v>7.31</c:v>
                </c:pt>
                <c:pt idx="673">
                  <c:v>31.85</c:v>
                </c:pt>
                <c:pt idx="674">
                  <c:v>30.36</c:v>
                </c:pt>
                <c:pt idx="675">
                  <c:v>39.450000000000003</c:v>
                </c:pt>
                <c:pt idx="676">
                  <c:v>51.62</c:v>
                </c:pt>
                <c:pt idx="677">
                  <c:v>35.6</c:v>
                </c:pt>
                <c:pt idx="678">
                  <c:v>31.79</c:v>
                </c:pt>
                <c:pt idx="679">
                  <c:v>1.2</c:v>
                </c:pt>
                <c:pt idx="680">
                  <c:v>53.52</c:v>
                </c:pt>
                <c:pt idx="681">
                  <c:v>27.03</c:v>
                </c:pt>
                <c:pt idx="682">
                  <c:v>15.23</c:v>
                </c:pt>
                <c:pt idx="683">
                  <c:v>10.69</c:v>
                </c:pt>
                <c:pt idx="684">
                  <c:v>37.99</c:v>
                </c:pt>
                <c:pt idx="685">
                  <c:v>16.7</c:v>
                </c:pt>
                <c:pt idx="686">
                  <c:v>13.63</c:v>
                </c:pt>
                <c:pt idx="687">
                  <c:v>8.98</c:v>
                </c:pt>
                <c:pt idx="688">
                  <c:v>48.36</c:v>
                </c:pt>
                <c:pt idx="689">
                  <c:v>5.93</c:v>
                </c:pt>
                <c:pt idx="690">
                  <c:v>39.08</c:v>
                </c:pt>
                <c:pt idx="691">
                  <c:v>3.88</c:v>
                </c:pt>
                <c:pt idx="692">
                  <c:v>44.04</c:v>
                </c:pt>
                <c:pt idx="693">
                  <c:v>52.04</c:v>
                </c:pt>
                <c:pt idx="694">
                  <c:v>4.87</c:v>
                </c:pt>
                <c:pt idx="695">
                  <c:v>52.52</c:v>
                </c:pt>
                <c:pt idx="696">
                  <c:v>19.149999999999999</c:v>
                </c:pt>
                <c:pt idx="697">
                  <c:v>21.05</c:v>
                </c:pt>
                <c:pt idx="698">
                  <c:v>52.83</c:v>
                </c:pt>
                <c:pt idx="699">
                  <c:v>6.62</c:v>
                </c:pt>
                <c:pt idx="700">
                  <c:v>42.46</c:v>
                </c:pt>
                <c:pt idx="701">
                  <c:v>18.239999999999998</c:v>
                </c:pt>
                <c:pt idx="702">
                  <c:v>44.11</c:v>
                </c:pt>
                <c:pt idx="703">
                  <c:v>31.69</c:v>
                </c:pt>
                <c:pt idx="704">
                  <c:v>37.950000000000003</c:v>
                </c:pt>
                <c:pt idx="705">
                  <c:v>53.72</c:v>
                </c:pt>
                <c:pt idx="706">
                  <c:v>59.51</c:v>
                </c:pt>
                <c:pt idx="707">
                  <c:v>9.56</c:v>
                </c:pt>
                <c:pt idx="708">
                  <c:v>46.79</c:v>
                </c:pt>
                <c:pt idx="709">
                  <c:v>40.08</c:v>
                </c:pt>
                <c:pt idx="710">
                  <c:v>24.96</c:v>
                </c:pt>
                <c:pt idx="711">
                  <c:v>20.87</c:v>
                </c:pt>
                <c:pt idx="712">
                  <c:v>53.22</c:v>
                </c:pt>
                <c:pt idx="713">
                  <c:v>25.06</c:v>
                </c:pt>
                <c:pt idx="714">
                  <c:v>51.91</c:v>
                </c:pt>
                <c:pt idx="715">
                  <c:v>58.24</c:v>
                </c:pt>
                <c:pt idx="716">
                  <c:v>23.41</c:v>
                </c:pt>
                <c:pt idx="717">
                  <c:v>24.34</c:v>
                </c:pt>
                <c:pt idx="718">
                  <c:v>38.700000000000003</c:v>
                </c:pt>
                <c:pt idx="719">
                  <c:v>52.71</c:v>
                </c:pt>
                <c:pt idx="720">
                  <c:v>14.92</c:v>
                </c:pt>
                <c:pt idx="721">
                  <c:v>56.28</c:v>
                </c:pt>
                <c:pt idx="722">
                  <c:v>33.25</c:v>
                </c:pt>
                <c:pt idx="723">
                  <c:v>38.14</c:v>
                </c:pt>
                <c:pt idx="724">
                  <c:v>17.22</c:v>
                </c:pt>
                <c:pt idx="725">
                  <c:v>3.25</c:v>
                </c:pt>
                <c:pt idx="726">
                  <c:v>17.489999999999998</c:v>
                </c:pt>
                <c:pt idx="727">
                  <c:v>52.11</c:v>
                </c:pt>
                <c:pt idx="728">
                  <c:v>41.97</c:v>
                </c:pt>
                <c:pt idx="729">
                  <c:v>49.66</c:v>
                </c:pt>
                <c:pt idx="730">
                  <c:v>19.14</c:v>
                </c:pt>
                <c:pt idx="731">
                  <c:v>42.12</c:v>
                </c:pt>
                <c:pt idx="732">
                  <c:v>46.24</c:v>
                </c:pt>
                <c:pt idx="733">
                  <c:v>40.479999999999997</c:v>
                </c:pt>
                <c:pt idx="734">
                  <c:v>3.53</c:v>
                </c:pt>
                <c:pt idx="735">
                  <c:v>11.74</c:v>
                </c:pt>
                <c:pt idx="736">
                  <c:v>50.9</c:v>
                </c:pt>
                <c:pt idx="737">
                  <c:v>23.25</c:v>
                </c:pt>
                <c:pt idx="738">
                  <c:v>38.03</c:v>
                </c:pt>
                <c:pt idx="739">
                  <c:v>27.97</c:v>
                </c:pt>
                <c:pt idx="740">
                  <c:v>5.45</c:v>
                </c:pt>
                <c:pt idx="741">
                  <c:v>24.19</c:v>
                </c:pt>
                <c:pt idx="742">
                  <c:v>36.15</c:v>
                </c:pt>
                <c:pt idx="743">
                  <c:v>11.22</c:v>
                </c:pt>
                <c:pt idx="744">
                  <c:v>50.43</c:v>
                </c:pt>
                <c:pt idx="745">
                  <c:v>6.52</c:v>
                </c:pt>
                <c:pt idx="746">
                  <c:v>30.49</c:v>
                </c:pt>
                <c:pt idx="747">
                  <c:v>54.87</c:v>
                </c:pt>
                <c:pt idx="748">
                  <c:v>40.24</c:v>
                </c:pt>
                <c:pt idx="749">
                  <c:v>12.42</c:v>
                </c:pt>
                <c:pt idx="750">
                  <c:v>17.25</c:v>
                </c:pt>
                <c:pt idx="751">
                  <c:v>4.5599999999999996</c:v>
                </c:pt>
                <c:pt idx="752">
                  <c:v>2.91</c:v>
                </c:pt>
                <c:pt idx="753">
                  <c:v>50.64</c:v>
                </c:pt>
                <c:pt idx="754">
                  <c:v>3.51</c:v>
                </c:pt>
                <c:pt idx="755">
                  <c:v>22.3</c:v>
                </c:pt>
                <c:pt idx="756">
                  <c:v>48.41</c:v>
                </c:pt>
                <c:pt idx="757">
                  <c:v>6.91</c:v>
                </c:pt>
                <c:pt idx="758">
                  <c:v>42.08</c:v>
                </c:pt>
                <c:pt idx="759">
                  <c:v>28.33</c:v>
                </c:pt>
                <c:pt idx="760">
                  <c:v>40.51</c:v>
                </c:pt>
                <c:pt idx="761">
                  <c:v>50.61</c:v>
                </c:pt>
                <c:pt idx="762">
                  <c:v>5.93</c:v>
                </c:pt>
                <c:pt idx="763">
                  <c:v>55.69</c:v>
                </c:pt>
                <c:pt idx="764">
                  <c:v>5.96</c:v>
                </c:pt>
                <c:pt idx="765">
                  <c:v>16.260000000000002</c:v>
                </c:pt>
                <c:pt idx="766">
                  <c:v>38.82</c:v>
                </c:pt>
                <c:pt idx="767">
                  <c:v>21.98</c:v>
                </c:pt>
                <c:pt idx="768">
                  <c:v>27.26</c:v>
                </c:pt>
                <c:pt idx="769">
                  <c:v>43.46</c:v>
                </c:pt>
                <c:pt idx="770">
                  <c:v>42.12</c:v>
                </c:pt>
                <c:pt idx="771">
                  <c:v>50.16</c:v>
                </c:pt>
                <c:pt idx="772">
                  <c:v>33.42</c:v>
                </c:pt>
                <c:pt idx="773">
                  <c:v>53.45</c:v>
                </c:pt>
                <c:pt idx="774">
                  <c:v>1.45</c:v>
                </c:pt>
                <c:pt idx="775">
                  <c:v>10.55</c:v>
                </c:pt>
                <c:pt idx="776">
                  <c:v>48.13</c:v>
                </c:pt>
                <c:pt idx="777">
                  <c:v>27.66</c:v>
                </c:pt>
                <c:pt idx="778">
                  <c:v>1.36</c:v>
                </c:pt>
                <c:pt idx="779">
                  <c:v>47.75</c:v>
                </c:pt>
                <c:pt idx="780">
                  <c:v>10.96</c:v>
                </c:pt>
                <c:pt idx="781">
                  <c:v>9.59</c:v>
                </c:pt>
                <c:pt idx="782">
                  <c:v>18.309999999999999</c:v>
                </c:pt>
                <c:pt idx="783">
                  <c:v>38.479999999999997</c:v>
                </c:pt>
                <c:pt idx="784">
                  <c:v>17.91</c:v>
                </c:pt>
                <c:pt idx="785">
                  <c:v>41.48</c:v>
                </c:pt>
                <c:pt idx="786">
                  <c:v>4.59</c:v>
                </c:pt>
                <c:pt idx="787">
                  <c:v>39.270000000000003</c:v>
                </c:pt>
                <c:pt idx="788">
                  <c:v>10.9</c:v>
                </c:pt>
                <c:pt idx="789">
                  <c:v>5.93</c:v>
                </c:pt>
                <c:pt idx="790">
                  <c:v>25.11</c:v>
                </c:pt>
                <c:pt idx="791">
                  <c:v>3.72</c:v>
                </c:pt>
                <c:pt idx="792">
                  <c:v>55.05</c:v>
                </c:pt>
                <c:pt idx="793">
                  <c:v>33.76</c:v>
                </c:pt>
                <c:pt idx="794">
                  <c:v>26.46</c:v>
                </c:pt>
                <c:pt idx="795">
                  <c:v>19.54</c:v>
                </c:pt>
                <c:pt idx="796">
                  <c:v>9.31</c:v>
                </c:pt>
                <c:pt idx="797">
                  <c:v>50.84</c:v>
                </c:pt>
                <c:pt idx="798">
                  <c:v>10.61</c:v>
                </c:pt>
                <c:pt idx="799">
                  <c:v>4.8899999999999997</c:v>
                </c:pt>
                <c:pt idx="800">
                  <c:v>51.86</c:v>
                </c:pt>
                <c:pt idx="801">
                  <c:v>39.1</c:v>
                </c:pt>
                <c:pt idx="802">
                  <c:v>32.76</c:v>
                </c:pt>
                <c:pt idx="803">
                  <c:v>52.4</c:v>
                </c:pt>
                <c:pt idx="804">
                  <c:v>54.55</c:v>
                </c:pt>
                <c:pt idx="805">
                  <c:v>20.66</c:v>
                </c:pt>
                <c:pt idx="806">
                  <c:v>41.23</c:v>
                </c:pt>
                <c:pt idx="807">
                  <c:v>52.43</c:v>
                </c:pt>
                <c:pt idx="808">
                  <c:v>57.39</c:v>
                </c:pt>
                <c:pt idx="809">
                  <c:v>43.55</c:v>
                </c:pt>
                <c:pt idx="810">
                  <c:v>11.28</c:v>
                </c:pt>
                <c:pt idx="811">
                  <c:v>43.3</c:v>
                </c:pt>
                <c:pt idx="812">
                  <c:v>10.27</c:v>
                </c:pt>
                <c:pt idx="813">
                  <c:v>19.149999999999999</c:v>
                </c:pt>
                <c:pt idx="814">
                  <c:v>9.0299999999999994</c:v>
                </c:pt>
                <c:pt idx="815">
                  <c:v>57.23</c:v>
                </c:pt>
                <c:pt idx="816">
                  <c:v>1.36</c:v>
                </c:pt>
                <c:pt idx="817">
                  <c:v>20.6</c:v>
                </c:pt>
                <c:pt idx="818">
                  <c:v>36.9</c:v>
                </c:pt>
                <c:pt idx="819">
                  <c:v>58.77</c:v>
                </c:pt>
                <c:pt idx="820">
                  <c:v>38</c:v>
                </c:pt>
                <c:pt idx="821">
                  <c:v>20.79</c:v>
                </c:pt>
                <c:pt idx="822">
                  <c:v>25.52</c:v>
                </c:pt>
                <c:pt idx="823">
                  <c:v>5.79</c:v>
                </c:pt>
                <c:pt idx="824">
                  <c:v>24.23</c:v>
                </c:pt>
                <c:pt idx="825">
                  <c:v>10.97</c:v>
                </c:pt>
                <c:pt idx="826">
                  <c:v>30.08</c:v>
                </c:pt>
                <c:pt idx="827">
                  <c:v>56.88</c:v>
                </c:pt>
                <c:pt idx="828">
                  <c:v>28.54</c:v>
                </c:pt>
                <c:pt idx="829">
                  <c:v>24.18</c:v>
                </c:pt>
                <c:pt idx="830">
                  <c:v>45.86</c:v>
                </c:pt>
                <c:pt idx="831">
                  <c:v>57.26</c:v>
                </c:pt>
                <c:pt idx="832">
                  <c:v>41.48</c:v>
                </c:pt>
                <c:pt idx="833">
                  <c:v>28.17</c:v>
                </c:pt>
                <c:pt idx="834">
                  <c:v>20.11</c:v>
                </c:pt>
                <c:pt idx="835">
                  <c:v>51.52</c:v>
                </c:pt>
                <c:pt idx="836">
                  <c:v>12.71</c:v>
                </c:pt>
                <c:pt idx="837">
                  <c:v>14.84</c:v>
                </c:pt>
                <c:pt idx="838">
                  <c:v>28.7</c:v>
                </c:pt>
                <c:pt idx="839">
                  <c:v>53.68</c:v>
                </c:pt>
                <c:pt idx="840">
                  <c:v>58.96</c:v>
                </c:pt>
                <c:pt idx="841">
                  <c:v>49.43</c:v>
                </c:pt>
                <c:pt idx="842">
                  <c:v>40.46</c:v>
                </c:pt>
                <c:pt idx="843">
                  <c:v>17.329999999999998</c:v>
                </c:pt>
                <c:pt idx="844">
                  <c:v>59.09</c:v>
                </c:pt>
                <c:pt idx="845">
                  <c:v>15.37</c:v>
                </c:pt>
                <c:pt idx="846">
                  <c:v>28.16</c:v>
                </c:pt>
                <c:pt idx="847">
                  <c:v>40.65</c:v>
                </c:pt>
                <c:pt idx="848">
                  <c:v>28.39</c:v>
                </c:pt>
                <c:pt idx="849">
                  <c:v>28.74</c:v>
                </c:pt>
                <c:pt idx="850">
                  <c:v>32.21</c:v>
                </c:pt>
                <c:pt idx="851">
                  <c:v>56.57</c:v>
                </c:pt>
                <c:pt idx="852">
                  <c:v>32.020000000000003</c:v>
                </c:pt>
                <c:pt idx="853">
                  <c:v>59.85</c:v>
                </c:pt>
                <c:pt idx="854">
                  <c:v>18.8</c:v>
                </c:pt>
                <c:pt idx="855">
                  <c:v>20.51</c:v>
                </c:pt>
                <c:pt idx="856">
                  <c:v>3.83</c:v>
                </c:pt>
                <c:pt idx="857">
                  <c:v>39.82</c:v>
                </c:pt>
                <c:pt idx="858">
                  <c:v>28.48</c:v>
                </c:pt>
                <c:pt idx="859">
                  <c:v>12.86</c:v>
                </c:pt>
                <c:pt idx="860">
                  <c:v>1.63</c:v>
                </c:pt>
                <c:pt idx="861">
                  <c:v>16.98</c:v>
                </c:pt>
                <c:pt idx="862">
                  <c:v>43.6</c:v>
                </c:pt>
                <c:pt idx="863">
                  <c:v>52.46</c:v>
                </c:pt>
                <c:pt idx="864">
                  <c:v>15.69</c:v>
                </c:pt>
                <c:pt idx="865">
                  <c:v>51.44</c:v>
                </c:pt>
                <c:pt idx="866">
                  <c:v>16.010000000000002</c:v>
                </c:pt>
                <c:pt idx="867">
                  <c:v>18.37</c:v>
                </c:pt>
                <c:pt idx="868">
                  <c:v>41.22</c:v>
                </c:pt>
                <c:pt idx="869">
                  <c:v>33.020000000000003</c:v>
                </c:pt>
                <c:pt idx="870">
                  <c:v>40.43</c:v>
                </c:pt>
                <c:pt idx="871">
                  <c:v>3.57</c:v>
                </c:pt>
                <c:pt idx="872">
                  <c:v>30.47</c:v>
                </c:pt>
                <c:pt idx="873">
                  <c:v>15.43</c:v>
                </c:pt>
                <c:pt idx="874">
                  <c:v>41.71</c:v>
                </c:pt>
                <c:pt idx="875">
                  <c:v>34.94</c:v>
                </c:pt>
                <c:pt idx="876">
                  <c:v>6.68</c:v>
                </c:pt>
                <c:pt idx="877">
                  <c:v>49.53</c:v>
                </c:pt>
                <c:pt idx="878">
                  <c:v>54.86</c:v>
                </c:pt>
                <c:pt idx="879">
                  <c:v>21.61</c:v>
                </c:pt>
                <c:pt idx="880">
                  <c:v>6.93</c:v>
                </c:pt>
                <c:pt idx="881">
                  <c:v>49.48</c:v>
                </c:pt>
                <c:pt idx="882">
                  <c:v>38.06</c:v>
                </c:pt>
                <c:pt idx="883">
                  <c:v>19.11</c:v>
                </c:pt>
                <c:pt idx="884">
                  <c:v>48.69</c:v>
                </c:pt>
                <c:pt idx="885">
                  <c:v>33.61</c:v>
                </c:pt>
                <c:pt idx="886">
                  <c:v>16.45</c:v>
                </c:pt>
                <c:pt idx="887">
                  <c:v>39.049999999999997</c:v>
                </c:pt>
                <c:pt idx="888">
                  <c:v>10.56</c:v>
                </c:pt>
                <c:pt idx="889">
                  <c:v>24.65</c:v>
                </c:pt>
                <c:pt idx="890">
                  <c:v>39.93</c:v>
                </c:pt>
                <c:pt idx="891">
                  <c:v>43.98</c:v>
                </c:pt>
                <c:pt idx="892">
                  <c:v>44.15</c:v>
                </c:pt>
                <c:pt idx="893">
                  <c:v>51.24</c:v>
                </c:pt>
                <c:pt idx="894">
                  <c:v>48.53</c:v>
                </c:pt>
                <c:pt idx="895">
                  <c:v>3.21</c:v>
                </c:pt>
                <c:pt idx="896">
                  <c:v>44</c:v>
                </c:pt>
                <c:pt idx="897">
                  <c:v>13.38</c:v>
                </c:pt>
                <c:pt idx="898">
                  <c:v>55.93</c:v>
                </c:pt>
                <c:pt idx="899">
                  <c:v>54.73</c:v>
                </c:pt>
                <c:pt idx="900">
                  <c:v>9.1199999999999992</c:v>
                </c:pt>
                <c:pt idx="901">
                  <c:v>58.93</c:v>
                </c:pt>
                <c:pt idx="902">
                  <c:v>37.409999999999997</c:v>
                </c:pt>
                <c:pt idx="903">
                  <c:v>45.29</c:v>
                </c:pt>
                <c:pt idx="904">
                  <c:v>21.62</c:v>
                </c:pt>
                <c:pt idx="905">
                  <c:v>13.13</c:v>
                </c:pt>
                <c:pt idx="906">
                  <c:v>27.57</c:v>
                </c:pt>
                <c:pt idx="907">
                  <c:v>10.34</c:v>
                </c:pt>
                <c:pt idx="908">
                  <c:v>13.08</c:v>
                </c:pt>
                <c:pt idx="909">
                  <c:v>16.29</c:v>
                </c:pt>
                <c:pt idx="910">
                  <c:v>46.04</c:v>
                </c:pt>
                <c:pt idx="911">
                  <c:v>57.62</c:v>
                </c:pt>
                <c:pt idx="912">
                  <c:v>13.65</c:v>
                </c:pt>
                <c:pt idx="913">
                  <c:v>55.5</c:v>
                </c:pt>
                <c:pt idx="914">
                  <c:v>15.17</c:v>
                </c:pt>
                <c:pt idx="915">
                  <c:v>23.01</c:v>
                </c:pt>
                <c:pt idx="916">
                  <c:v>24.56</c:v>
                </c:pt>
                <c:pt idx="917">
                  <c:v>15.36</c:v>
                </c:pt>
                <c:pt idx="918">
                  <c:v>8.08</c:v>
                </c:pt>
                <c:pt idx="919">
                  <c:v>55.9</c:v>
                </c:pt>
                <c:pt idx="920">
                  <c:v>2.33</c:v>
                </c:pt>
                <c:pt idx="921">
                  <c:v>8.75</c:v>
                </c:pt>
                <c:pt idx="922">
                  <c:v>25.85</c:v>
                </c:pt>
                <c:pt idx="923">
                  <c:v>3.97</c:v>
                </c:pt>
                <c:pt idx="924">
                  <c:v>34.869999999999997</c:v>
                </c:pt>
                <c:pt idx="925">
                  <c:v>23.23</c:v>
                </c:pt>
                <c:pt idx="926">
                  <c:v>49.4</c:v>
                </c:pt>
                <c:pt idx="927">
                  <c:v>59.99</c:v>
                </c:pt>
                <c:pt idx="928">
                  <c:v>41.96</c:v>
                </c:pt>
                <c:pt idx="929">
                  <c:v>53.53</c:v>
                </c:pt>
                <c:pt idx="930">
                  <c:v>9.81</c:v>
                </c:pt>
                <c:pt idx="931">
                  <c:v>6.59</c:v>
                </c:pt>
                <c:pt idx="932">
                  <c:v>16.600000000000001</c:v>
                </c:pt>
                <c:pt idx="933">
                  <c:v>43.2</c:v>
                </c:pt>
                <c:pt idx="934">
                  <c:v>58.01</c:v>
                </c:pt>
                <c:pt idx="935">
                  <c:v>41.08</c:v>
                </c:pt>
                <c:pt idx="936">
                  <c:v>33.200000000000003</c:v>
                </c:pt>
                <c:pt idx="937">
                  <c:v>48.88</c:v>
                </c:pt>
                <c:pt idx="938">
                  <c:v>17.7</c:v>
                </c:pt>
                <c:pt idx="939">
                  <c:v>32.159999999999997</c:v>
                </c:pt>
                <c:pt idx="940">
                  <c:v>7.99</c:v>
                </c:pt>
                <c:pt idx="941">
                  <c:v>5.73</c:v>
                </c:pt>
                <c:pt idx="942">
                  <c:v>59.26</c:v>
                </c:pt>
                <c:pt idx="943">
                  <c:v>55.43</c:v>
                </c:pt>
                <c:pt idx="944">
                  <c:v>36.14</c:v>
                </c:pt>
                <c:pt idx="945">
                  <c:v>28.46</c:v>
                </c:pt>
                <c:pt idx="946">
                  <c:v>24.5</c:v>
                </c:pt>
                <c:pt idx="947">
                  <c:v>5.29</c:v>
                </c:pt>
                <c:pt idx="948">
                  <c:v>2.39</c:v>
                </c:pt>
                <c:pt idx="949">
                  <c:v>52.19</c:v>
                </c:pt>
                <c:pt idx="950">
                  <c:v>19.93</c:v>
                </c:pt>
                <c:pt idx="951">
                  <c:v>10.48</c:v>
                </c:pt>
                <c:pt idx="952">
                  <c:v>39.479999999999997</c:v>
                </c:pt>
                <c:pt idx="953">
                  <c:v>11.19</c:v>
                </c:pt>
                <c:pt idx="954">
                  <c:v>56.63</c:v>
                </c:pt>
                <c:pt idx="955">
                  <c:v>11.4</c:v>
                </c:pt>
                <c:pt idx="956">
                  <c:v>44.53</c:v>
                </c:pt>
                <c:pt idx="957">
                  <c:v>43.98</c:v>
                </c:pt>
                <c:pt idx="958">
                  <c:v>16.82</c:v>
                </c:pt>
                <c:pt idx="959">
                  <c:v>11.88</c:v>
                </c:pt>
                <c:pt idx="960">
                  <c:v>13.31</c:v>
                </c:pt>
                <c:pt idx="961">
                  <c:v>10.220000000000001</c:v>
                </c:pt>
                <c:pt idx="962">
                  <c:v>49.2</c:v>
                </c:pt>
                <c:pt idx="963">
                  <c:v>1.1599999999999999</c:v>
                </c:pt>
                <c:pt idx="964">
                  <c:v>37.56</c:v>
                </c:pt>
                <c:pt idx="965">
                  <c:v>14.35</c:v>
                </c:pt>
                <c:pt idx="966">
                  <c:v>48.89</c:v>
                </c:pt>
                <c:pt idx="967">
                  <c:v>15.32</c:v>
                </c:pt>
                <c:pt idx="968">
                  <c:v>14.51</c:v>
                </c:pt>
                <c:pt idx="969">
                  <c:v>34.69</c:v>
                </c:pt>
                <c:pt idx="970">
                  <c:v>50.63</c:v>
                </c:pt>
                <c:pt idx="971">
                  <c:v>11.64</c:v>
                </c:pt>
                <c:pt idx="972">
                  <c:v>40.26</c:v>
                </c:pt>
                <c:pt idx="973">
                  <c:v>39.840000000000003</c:v>
                </c:pt>
                <c:pt idx="974">
                  <c:v>59.33</c:v>
                </c:pt>
                <c:pt idx="975">
                  <c:v>27.16</c:v>
                </c:pt>
                <c:pt idx="976">
                  <c:v>12.84</c:v>
                </c:pt>
                <c:pt idx="977">
                  <c:v>4.24</c:v>
                </c:pt>
                <c:pt idx="978">
                  <c:v>25.21</c:v>
                </c:pt>
                <c:pt idx="979">
                  <c:v>57.1</c:v>
                </c:pt>
                <c:pt idx="980">
                  <c:v>34.31</c:v>
                </c:pt>
                <c:pt idx="981">
                  <c:v>22.17</c:v>
                </c:pt>
                <c:pt idx="982">
                  <c:v>29.42</c:v>
                </c:pt>
                <c:pt idx="983">
                  <c:v>57.41</c:v>
                </c:pt>
                <c:pt idx="984">
                  <c:v>4.96</c:v>
                </c:pt>
                <c:pt idx="985">
                  <c:v>18.11</c:v>
                </c:pt>
                <c:pt idx="986">
                  <c:v>9</c:v>
                </c:pt>
                <c:pt idx="987">
                  <c:v>41.1</c:v>
                </c:pt>
                <c:pt idx="988">
                  <c:v>25.93</c:v>
                </c:pt>
                <c:pt idx="989">
                  <c:v>37.32</c:v>
                </c:pt>
                <c:pt idx="990">
                  <c:v>18.22</c:v>
                </c:pt>
                <c:pt idx="991">
                  <c:v>11.6</c:v>
                </c:pt>
                <c:pt idx="992">
                  <c:v>43.75</c:v>
                </c:pt>
                <c:pt idx="993">
                  <c:v>54.16</c:v>
                </c:pt>
                <c:pt idx="994">
                  <c:v>10.4</c:v>
                </c:pt>
                <c:pt idx="995">
                  <c:v>6.24</c:v>
                </c:pt>
                <c:pt idx="996">
                  <c:v>25.85</c:v>
                </c:pt>
                <c:pt idx="997">
                  <c:v>39.79</c:v>
                </c:pt>
                <c:pt idx="998">
                  <c:v>18.32</c:v>
                </c:pt>
                <c:pt idx="999">
                  <c:v>33.25</c:v>
                </c:pt>
              </c:numCache>
            </c:numRef>
          </c:yVal>
          <c:smooth val="0"/>
          <c:extLst>
            <c:ext xmlns:c16="http://schemas.microsoft.com/office/drawing/2014/chart" uri="{C3380CC4-5D6E-409C-BE32-E72D297353CC}">
              <c16:uniqueId val="{00000003-A6ED-4373-9557-A6DC7CC4E8BC}"/>
            </c:ext>
          </c:extLst>
        </c:ser>
        <c:dLbls>
          <c:showLegendKey val="0"/>
          <c:showVal val="0"/>
          <c:showCatName val="0"/>
          <c:showSerName val="0"/>
          <c:showPercent val="0"/>
          <c:showBubbleSize val="0"/>
        </c:dLbls>
        <c:axId val="1115717616"/>
        <c:axId val="1115716784"/>
      </c:scatterChart>
      <c:valAx>
        <c:axId val="11157176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Ratings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K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115716784"/>
        <c:crosses val="autoZero"/>
        <c:crossBetween val="midCat"/>
      </c:valAx>
      <c:valAx>
        <c:axId val="11157167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r>
                  <a:rPr lang="en-US" baseline="0"/>
                  <a:t> (</a:t>
                </a:r>
                <a:r>
                  <a:rPr lang="en-KE" sz="1000" b="0" i="0" u="none" strike="noStrike" baseline="0">
                    <a:effectLst/>
                  </a:rPr>
                  <a:t>£</a:t>
                </a:r>
                <a:r>
                  <a:rPr lang="en-US" baseline="0"/>
                  <a: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K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1157176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Workbook!$AK$14</c:f>
              <c:strCache>
                <c:ptCount val="1"/>
                <c:pt idx="0">
                  <c:v>Average Price (£)</c:v>
                </c:pt>
              </c:strCache>
            </c:strRef>
          </c:tx>
          <c:spPr>
            <a:solidFill>
              <a:schemeClr val="accent1"/>
            </a:solidFill>
            <a:ln>
              <a:noFill/>
            </a:ln>
            <a:effectLst/>
          </c:spPr>
          <c:invertIfNegative val="0"/>
          <c:cat>
            <c:strRef>
              <c:f>Workbook!$AJ$15:$AJ$19</c:f>
              <c:strCache>
                <c:ptCount val="5"/>
                <c:pt idx="0">
                  <c:v>Academic</c:v>
                </c:pt>
                <c:pt idx="1">
                  <c:v>Thriller</c:v>
                </c:pt>
                <c:pt idx="2">
                  <c:v>Classics</c:v>
                </c:pt>
                <c:pt idx="3">
                  <c:v>Poetry</c:v>
                </c:pt>
                <c:pt idx="4">
                  <c:v>Suspense</c:v>
                </c:pt>
              </c:strCache>
            </c:strRef>
          </c:cat>
          <c:val>
            <c:numRef>
              <c:f>Workbook!$AK$15:$AK$19</c:f>
              <c:numCache>
                <c:formatCode>0.00</c:formatCode>
                <c:ptCount val="5"/>
                <c:pt idx="0">
                  <c:v>41.508333333333333</c:v>
                </c:pt>
                <c:pt idx="1">
                  <c:v>36.147037037037038</c:v>
                </c:pt>
                <c:pt idx="2">
                  <c:v>33.68105263157895</c:v>
                </c:pt>
                <c:pt idx="3">
                  <c:v>33.357804878048782</c:v>
                </c:pt>
                <c:pt idx="4">
                  <c:v>33.223030303030299</c:v>
                </c:pt>
              </c:numCache>
            </c:numRef>
          </c:val>
          <c:extLst>
            <c:ext xmlns:c16="http://schemas.microsoft.com/office/drawing/2014/chart" uri="{C3380CC4-5D6E-409C-BE32-E72D297353CC}">
              <c16:uniqueId val="{00000000-A049-4CB5-BE14-F6E23850894F}"/>
            </c:ext>
          </c:extLst>
        </c:ser>
        <c:ser>
          <c:idx val="1"/>
          <c:order val="1"/>
          <c:tx>
            <c:strRef>
              <c:f>Workbook!$AL$14</c:f>
              <c:strCache>
                <c:ptCount val="1"/>
                <c:pt idx="0">
                  <c:v>Min Price (£)</c:v>
                </c:pt>
              </c:strCache>
            </c:strRef>
          </c:tx>
          <c:spPr>
            <a:solidFill>
              <a:schemeClr val="accent2"/>
            </a:solidFill>
            <a:ln>
              <a:noFill/>
            </a:ln>
            <a:effectLst/>
          </c:spPr>
          <c:invertIfNegative val="0"/>
          <c:cat>
            <c:strRef>
              <c:f>Workbook!$AJ$15:$AJ$19</c:f>
              <c:strCache>
                <c:ptCount val="5"/>
                <c:pt idx="0">
                  <c:v>Academic</c:v>
                </c:pt>
                <c:pt idx="1">
                  <c:v>Thriller</c:v>
                </c:pt>
                <c:pt idx="2">
                  <c:v>Classics</c:v>
                </c:pt>
                <c:pt idx="3">
                  <c:v>Poetry</c:v>
                </c:pt>
                <c:pt idx="4">
                  <c:v>Suspense</c:v>
                </c:pt>
              </c:strCache>
            </c:strRef>
          </c:cat>
          <c:val>
            <c:numRef>
              <c:f>Workbook!$AL$15:$AL$19</c:f>
              <c:numCache>
                <c:formatCode>0.00</c:formatCode>
                <c:ptCount val="5"/>
                <c:pt idx="0">
                  <c:v>11.28</c:v>
                </c:pt>
                <c:pt idx="1">
                  <c:v>10.57</c:v>
                </c:pt>
                <c:pt idx="2">
                  <c:v>4.87</c:v>
                </c:pt>
                <c:pt idx="3">
                  <c:v>3.18</c:v>
                </c:pt>
                <c:pt idx="4">
                  <c:v>1.1599999999999999</c:v>
                </c:pt>
              </c:numCache>
            </c:numRef>
          </c:val>
          <c:extLst>
            <c:ext xmlns:c16="http://schemas.microsoft.com/office/drawing/2014/chart" uri="{C3380CC4-5D6E-409C-BE32-E72D297353CC}">
              <c16:uniqueId val="{00000001-A049-4CB5-BE14-F6E23850894F}"/>
            </c:ext>
          </c:extLst>
        </c:ser>
        <c:ser>
          <c:idx val="2"/>
          <c:order val="2"/>
          <c:tx>
            <c:strRef>
              <c:f>Workbook!$AM$14</c:f>
              <c:strCache>
                <c:ptCount val="1"/>
                <c:pt idx="0">
                  <c:v>Max Price (£)</c:v>
                </c:pt>
              </c:strCache>
            </c:strRef>
          </c:tx>
          <c:spPr>
            <a:solidFill>
              <a:schemeClr val="accent3"/>
            </a:solidFill>
            <a:ln>
              <a:noFill/>
            </a:ln>
            <a:effectLst/>
          </c:spPr>
          <c:invertIfNegative val="0"/>
          <c:cat>
            <c:strRef>
              <c:f>Workbook!$AJ$15:$AJ$19</c:f>
              <c:strCache>
                <c:ptCount val="5"/>
                <c:pt idx="0">
                  <c:v>Academic</c:v>
                </c:pt>
                <c:pt idx="1">
                  <c:v>Thriller</c:v>
                </c:pt>
                <c:pt idx="2">
                  <c:v>Classics</c:v>
                </c:pt>
                <c:pt idx="3">
                  <c:v>Poetry</c:v>
                </c:pt>
                <c:pt idx="4">
                  <c:v>Suspense</c:v>
                </c:pt>
              </c:strCache>
            </c:strRef>
          </c:cat>
          <c:val>
            <c:numRef>
              <c:f>Workbook!$AM$15:$AM$19</c:f>
              <c:numCache>
                <c:formatCode>0.00</c:formatCode>
                <c:ptCount val="5"/>
                <c:pt idx="0">
                  <c:v>59.33</c:v>
                </c:pt>
                <c:pt idx="1">
                  <c:v>58.36</c:v>
                </c:pt>
                <c:pt idx="2">
                  <c:v>57.26</c:v>
                </c:pt>
                <c:pt idx="3">
                  <c:v>59.51</c:v>
                </c:pt>
                <c:pt idx="4">
                  <c:v>58.77</c:v>
                </c:pt>
              </c:numCache>
            </c:numRef>
          </c:val>
          <c:extLst>
            <c:ext xmlns:c16="http://schemas.microsoft.com/office/drawing/2014/chart" uri="{C3380CC4-5D6E-409C-BE32-E72D297353CC}">
              <c16:uniqueId val="{00000002-A049-4CB5-BE14-F6E23850894F}"/>
            </c:ext>
          </c:extLst>
        </c:ser>
        <c:dLbls>
          <c:showLegendKey val="0"/>
          <c:showVal val="0"/>
          <c:showCatName val="0"/>
          <c:showSerName val="0"/>
          <c:showPercent val="0"/>
          <c:showBubbleSize val="0"/>
        </c:dLbls>
        <c:gapWidth val="182"/>
        <c:axId val="349833360"/>
        <c:axId val="349824624"/>
      </c:barChart>
      <c:catAx>
        <c:axId val="349833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349824624"/>
        <c:crosses val="autoZero"/>
        <c:auto val="1"/>
        <c:lblAlgn val="ctr"/>
        <c:lblOffset val="100"/>
        <c:noMultiLvlLbl val="0"/>
      </c:catAx>
      <c:valAx>
        <c:axId val="349824624"/>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349833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204685283904729"/>
          <c:y val="0.11677865889539608"/>
          <c:w val="0.60238436512801163"/>
          <c:h val="0.86848151988118927"/>
        </c:manualLayout>
      </c:layout>
      <c:barChart>
        <c:barDir val="bar"/>
        <c:grouping val="clustered"/>
        <c:varyColors val="0"/>
        <c:ser>
          <c:idx val="0"/>
          <c:order val="0"/>
          <c:tx>
            <c:strRef>
              <c:f>Workbook!$B$4</c:f>
              <c:strCache>
                <c:ptCount val="1"/>
                <c:pt idx="0">
                  <c:v>Number of Books</c:v>
                </c:pt>
              </c:strCache>
            </c:strRef>
          </c:tx>
          <c:spPr>
            <a:solidFill>
              <a:srgbClr val="18384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Workbook!$A$5:$A$11</c:f>
              <c:strCache>
                <c:ptCount val="7"/>
                <c:pt idx="0">
                  <c:v>Womens Fiction</c:v>
                </c:pt>
                <c:pt idx="1">
                  <c:v>Music</c:v>
                </c:pt>
                <c:pt idx="2">
                  <c:v>Romance</c:v>
                </c:pt>
                <c:pt idx="3">
                  <c:v>Sports</c:v>
                </c:pt>
                <c:pt idx="4">
                  <c:v>Poetry</c:v>
                </c:pt>
                <c:pt idx="5">
                  <c:v>Mystery</c:v>
                </c:pt>
                <c:pt idx="6">
                  <c:v>Philosophy</c:v>
                </c:pt>
              </c:strCache>
            </c:strRef>
          </c:cat>
          <c:val>
            <c:numRef>
              <c:f>Workbook!$B$5:$B$11</c:f>
              <c:numCache>
                <c:formatCode>General</c:formatCode>
                <c:ptCount val="7"/>
                <c:pt idx="0">
                  <c:v>44</c:v>
                </c:pt>
                <c:pt idx="1">
                  <c:v>42</c:v>
                </c:pt>
                <c:pt idx="2">
                  <c:v>41</c:v>
                </c:pt>
                <c:pt idx="3">
                  <c:v>41</c:v>
                </c:pt>
                <c:pt idx="4">
                  <c:v>41</c:v>
                </c:pt>
                <c:pt idx="5">
                  <c:v>41</c:v>
                </c:pt>
                <c:pt idx="6">
                  <c:v>40</c:v>
                </c:pt>
              </c:numCache>
            </c:numRef>
          </c:val>
          <c:extLst>
            <c:ext xmlns:c16="http://schemas.microsoft.com/office/drawing/2014/chart" uri="{C3380CC4-5D6E-409C-BE32-E72D297353CC}">
              <c16:uniqueId val="{00000000-66E0-43D6-8BBE-7F3743222B5B}"/>
            </c:ext>
          </c:extLst>
        </c:ser>
        <c:dLbls>
          <c:dLblPos val="outEnd"/>
          <c:showLegendKey val="0"/>
          <c:showVal val="1"/>
          <c:showCatName val="0"/>
          <c:showSerName val="0"/>
          <c:showPercent val="0"/>
          <c:showBubbleSize val="0"/>
        </c:dLbls>
        <c:gapWidth val="8"/>
        <c:axId val="471614256"/>
        <c:axId val="471615088"/>
      </c:barChart>
      <c:catAx>
        <c:axId val="471614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KE"/>
          </a:p>
        </c:txPr>
        <c:crossAx val="471615088"/>
        <c:crosses val="autoZero"/>
        <c:auto val="1"/>
        <c:lblAlgn val="ctr"/>
        <c:lblOffset val="100"/>
        <c:noMultiLvlLbl val="0"/>
      </c:catAx>
      <c:valAx>
        <c:axId val="471615088"/>
        <c:scaling>
          <c:orientation val="minMax"/>
        </c:scaling>
        <c:delete val="1"/>
        <c:axPos val="b"/>
        <c:numFmt formatCode="General" sourceLinked="1"/>
        <c:majorTickMark val="none"/>
        <c:minorTickMark val="none"/>
        <c:tickLblPos val="nextTo"/>
        <c:crossAx val="4716142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610113953147162E-3"/>
          <c:y val="0.15455378058548824"/>
          <c:w val="0.69134701159678857"/>
          <c:h val="0.94248366013071894"/>
        </c:manualLayout>
      </c:layout>
      <c:pieChart>
        <c:varyColors val="1"/>
        <c:ser>
          <c:idx val="0"/>
          <c:order val="0"/>
          <c:tx>
            <c:strRef>
              <c:f>Workbook!$C$15</c:f>
              <c:strCache>
                <c:ptCount val="1"/>
                <c:pt idx="0">
                  <c:v>Percentage</c:v>
                </c:pt>
              </c:strCache>
            </c:strRef>
          </c:tx>
          <c:spPr>
            <a:solidFill>
              <a:srgbClr val="00B050"/>
            </a:solidFill>
          </c:spPr>
          <c:dPt>
            <c:idx val="0"/>
            <c:bubble3D val="0"/>
            <c:spPr>
              <a:solidFill>
                <a:srgbClr val="18384A"/>
              </a:solidFill>
              <a:ln w="19050">
                <a:solidFill>
                  <a:schemeClr val="lt1"/>
                </a:solidFill>
              </a:ln>
              <a:effectLst/>
            </c:spPr>
            <c:extLst>
              <c:ext xmlns:c16="http://schemas.microsoft.com/office/drawing/2014/chart" uri="{C3380CC4-5D6E-409C-BE32-E72D297353CC}">
                <c16:uniqueId val="{00000001-E0E5-4835-BC66-0394DC4686AD}"/>
              </c:ext>
            </c:extLst>
          </c:dPt>
          <c:dPt>
            <c:idx val="1"/>
            <c:bubble3D val="0"/>
            <c:spPr>
              <a:solidFill>
                <a:srgbClr val="CAC8CC"/>
              </a:solidFill>
              <a:ln w="19050">
                <a:solidFill>
                  <a:schemeClr val="lt1"/>
                </a:solidFill>
              </a:ln>
              <a:effectLst/>
            </c:spPr>
            <c:extLst>
              <c:ext xmlns:c16="http://schemas.microsoft.com/office/drawing/2014/chart" uri="{C3380CC4-5D6E-409C-BE32-E72D297353CC}">
                <c16:uniqueId val="{00000003-E0E5-4835-BC66-0394DC4686AD}"/>
              </c:ext>
            </c:extLst>
          </c:dPt>
          <c:cat>
            <c:strRef>
              <c:f>Workbook!$A$16:$A$17</c:f>
              <c:strCache>
                <c:ptCount val="2"/>
                <c:pt idx="0">
                  <c:v>Top 7</c:v>
                </c:pt>
                <c:pt idx="1">
                  <c:v>Other  genres</c:v>
                </c:pt>
              </c:strCache>
            </c:strRef>
          </c:cat>
          <c:val>
            <c:numRef>
              <c:f>Workbook!$C$16:$C$17</c:f>
              <c:numCache>
                <c:formatCode>0%</c:formatCode>
                <c:ptCount val="2"/>
                <c:pt idx="0">
                  <c:v>0.28999999999999998</c:v>
                </c:pt>
                <c:pt idx="1">
                  <c:v>0.71</c:v>
                </c:pt>
              </c:numCache>
            </c:numRef>
          </c:val>
          <c:extLst>
            <c:ext xmlns:c16="http://schemas.microsoft.com/office/drawing/2014/chart" uri="{C3380CC4-5D6E-409C-BE32-E72D297353CC}">
              <c16:uniqueId val="{00000004-E0E5-4835-BC66-0394DC4686A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34796201945345"/>
          <c:y val="0.13004845548152635"/>
          <c:w val="0.59965763470742628"/>
          <c:h val="0.71190022575849343"/>
        </c:manualLayout>
      </c:layout>
      <c:barChart>
        <c:barDir val="bar"/>
        <c:grouping val="clustered"/>
        <c:varyColors val="0"/>
        <c:ser>
          <c:idx val="0"/>
          <c:order val="0"/>
          <c:tx>
            <c:strRef>
              <c:f>Workbook!$V$3</c:f>
              <c:strCache>
                <c:ptCount val="1"/>
                <c:pt idx="0">
                  <c:v>Average Price</c:v>
                </c:pt>
              </c:strCache>
            </c:strRef>
          </c:tx>
          <c:spPr>
            <a:solidFill>
              <a:srgbClr val="18384A"/>
            </a:solidFill>
            <a:ln>
              <a:noFill/>
            </a:ln>
            <a:effectLst/>
          </c:spPr>
          <c:invertIfNegative val="0"/>
          <c:cat>
            <c:strRef>
              <c:f>Workbook!$U$4:$U$19</c:f>
              <c:strCache>
                <c:ptCount val="16"/>
                <c:pt idx="0">
                  <c:v>Academic</c:v>
                </c:pt>
                <c:pt idx="1">
                  <c:v>Thriller</c:v>
                </c:pt>
                <c:pt idx="2">
                  <c:v>Classics</c:v>
                </c:pt>
                <c:pt idx="3">
                  <c:v>Poetry</c:v>
                </c:pt>
                <c:pt idx="4">
                  <c:v>Suspense</c:v>
                </c:pt>
                <c:pt idx="5">
                  <c:v>Health</c:v>
                </c:pt>
                <c:pt idx="6">
                  <c:v>Horror</c:v>
                </c:pt>
                <c:pt idx="7">
                  <c:v>Travel</c:v>
                </c:pt>
                <c:pt idx="8">
                  <c:v>Romance</c:v>
                </c:pt>
                <c:pt idx="9">
                  <c:v>Self Help</c:v>
                </c:pt>
                <c:pt idx="10">
                  <c:v>Sports</c:v>
                </c:pt>
                <c:pt idx="11">
                  <c:v>Womens Fiction</c:v>
                </c:pt>
                <c:pt idx="12">
                  <c:v>Historical Fiction</c:v>
                </c:pt>
                <c:pt idx="13">
                  <c:v>Parody</c:v>
                </c:pt>
                <c:pt idx="14">
                  <c:v>Psychology</c:v>
                </c:pt>
                <c:pt idx="15">
                  <c:v>Sequential Art</c:v>
                </c:pt>
              </c:strCache>
            </c:strRef>
          </c:cat>
          <c:val>
            <c:numRef>
              <c:f>Workbook!$V$4:$V$19</c:f>
              <c:numCache>
                <c:formatCode>0.00</c:formatCode>
                <c:ptCount val="16"/>
                <c:pt idx="0">
                  <c:v>41.508333333333333</c:v>
                </c:pt>
                <c:pt idx="1">
                  <c:v>36.147037037037038</c:v>
                </c:pt>
                <c:pt idx="2">
                  <c:v>33.68105263157895</c:v>
                </c:pt>
                <c:pt idx="3">
                  <c:v>33.357804878048782</c:v>
                </c:pt>
                <c:pt idx="4">
                  <c:v>33.223030303030299</c:v>
                </c:pt>
                <c:pt idx="5">
                  <c:v>33.099687500000002</c:v>
                </c:pt>
                <c:pt idx="6">
                  <c:v>32.776333333333334</c:v>
                </c:pt>
                <c:pt idx="7">
                  <c:v>31.83</c:v>
                </c:pt>
                <c:pt idx="8">
                  <c:v>31.701219512195124</c:v>
                </c:pt>
                <c:pt idx="9">
                  <c:v>31.175172413793106</c:v>
                </c:pt>
                <c:pt idx="10">
                  <c:v>31.151707317073171</c:v>
                </c:pt>
                <c:pt idx="11">
                  <c:v>30.645227272727276</c:v>
                </c:pt>
                <c:pt idx="12">
                  <c:v>30.21970588235294</c:v>
                </c:pt>
                <c:pt idx="13">
                  <c:v>30.150571428571428</c:v>
                </c:pt>
                <c:pt idx="14">
                  <c:v>30.131794871794874</c:v>
                </c:pt>
                <c:pt idx="15">
                  <c:v>29.997777777777781</c:v>
                </c:pt>
              </c:numCache>
            </c:numRef>
          </c:val>
          <c:extLst>
            <c:ext xmlns:c16="http://schemas.microsoft.com/office/drawing/2014/chart" uri="{C3380CC4-5D6E-409C-BE32-E72D297353CC}">
              <c16:uniqueId val="{00000000-4104-4176-8498-A8C3D7E2E9A8}"/>
            </c:ext>
          </c:extLst>
        </c:ser>
        <c:dLbls>
          <c:showLegendKey val="0"/>
          <c:showVal val="0"/>
          <c:showCatName val="0"/>
          <c:showSerName val="0"/>
          <c:showPercent val="0"/>
          <c:showBubbleSize val="0"/>
        </c:dLbls>
        <c:gapWidth val="15"/>
        <c:axId val="546307440"/>
        <c:axId val="546307856"/>
      </c:barChart>
      <c:catAx>
        <c:axId val="546307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KE"/>
          </a:p>
        </c:txPr>
        <c:crossAx val="546307856"/>
        <c:crosses val="autoZero"/>
        <c:auto val="1"/>
        <c:lblAlgn val="ctr"/>
        <c:lblOffset val="100"/>
        <c:noMultiLvlLbl val="0"/>
      </c:catAx>
      <c:valAx>
        <c:axId val="546307856"/>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n-KE"/>
          </a:p>
        </c:txPr>
        <c:crossAx val="5463074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[book_market_intelligence_project.xlsm]Workbook!PivotTable8</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2723658051689876"/>
              <c:y val="6.5868096275199656E-3"/>
            </c:manualLayout>
          </c:layout>
          <c:spPr>
            <a:noFill/>
            <a:ln>
              <a:noFill/>
            </a:ln>
            <a:effectLst/>
          </c:spPr>
          <c:txPr>
            <a:bodyPr rot="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1"/>
          <c:showBubbleSize val="0"/>
          <c:separator> </c:separator>
          <c:extLst>
            <c:ext xmlns:c15="http://schemas.microsoft.com/office/drawing/2012/chart" uri="{CE6537A1-D6FC-4f65-9D91-7224C49458BB}">
              <c15:layout>
                <c:manualLayout>
                  <c:w val="8.6202783300198801E-2"/>
                  <c:h val="0.14072708996481822"/>
                </c:manualLayout>
              </c15:layout>
            </c:ext>
          </c:extLst>
        </c:dLbl>
      </c:pivotFmt>
      <c:pivotFmt>
        <c:idx val="8"/>
        <c:spPr>
          <a:solidFill>
            <a:schemeClr val="accent1"/>
          </a:solidFill>
          <a:ln w="19050">
            <a:solidFill>
              <a:schemeClr val="lt1"/>
            </a:solidFill>
          </a:ln>
          <a:effectLst/>
        </c:spPr>
        <c:dLbl>
          <c:idx val="0"/>
          <c:layout>
            <c:manualLayout>
              <c:x val="0.15109343936381708"/>
              <c:y val="7.092198581560153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1"/>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4711729622266401"/>
              <c:y val="2.836879432624113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1"/>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312127236580517"/>
              <c:y val="3.250553465877445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1"/>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848340444040758"/>
          <c:y val="7.049433454964471E-2"/>
          <c:w val="0.54125638844291502"/>
          <c:h val="0.81254465143076626"/>
        </c:manualLayout>
      </c:layout>
      <c:doughnutChart>
        <c:varyColors val="1"/>
        <c:ser>
          <c:idx val="0"/>
          <c:order val="0"/>
          <c:tx>
            <c:strRef>
              <c:f>Workbook!$AH$3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6F-4D6E-AFE7-AEA5E39E8F5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6F-4D6E-AFE7-AEA5E39E8F5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6F-4D6E-AFE7-AEA5E39E8F5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6F-4D6E-AFE7-AEA5E39E8F53}"/>
              </c:ext>
            </c:extLst>
          </c:dPt>
          <c:dLbls>
            <c:dLbl>
              <c:idx val="0"/>
              <c:layout>
                <c:manualLayout>
                  <c:x val="0.12723658051689876"/>
                  <c:y val="6.5868096275199656E-3"/>
                </c:manualLayout>
              </c:layout>
              <c:spPr>
                <a:noFill/>
                <a:ln>
                  <a:noFill/>
                </a:ln>
                <a:effectLst/>
              </c:spPr>
              <c:txPr>
                <a:bodyPr rot="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1"/>
              <c:showBubbleSize val="0"/>
              <c:separator> </c:separator>
              <c:extLst>
                <c:ext xmlns:c15="http://schemas.microsoft.com/office/drawing/2012/chart" uri="{CE6537A1-D6FC-4f65-9D91-7224C49458BB}">
                  <c15:layout>
                    <c:manualLayout>
                      <c:w val="8.6202783300198801E-2"/>
                      <c:h val="0.14072708996481822"/>
                    </c:manualLayout>
                  </c15:layout>
                </c:ext>
                <c:ext xmlns:c16="http://schemas.microsoft.com/office/drawing/2014/chart" uri="{C3380CC4-5D6E-409C-BE32-E72D297353CC}">
                  <c16:uniqueId val="{00000001-6D6F-4D6E-AFE7-AEA5E39E8F53}"/>
                </c:ext>
              </c:extLst>
            </c:dLbl>
            <c:dLbl>
              <c:idx val="1"/>
              <c:layout>
                <c:manualLayout>
                  <c:x val="0.15109343936381708"/>
                  <c:y val="7.0921985815601534E-3"/>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D6F-4D6E-AFE7-AEA5E39E8F53}"/>
                </c:ext>
              </c:extLst>
            </c:dLbl>
            <c:dLbl>
              <c:idx val="2"/>
              <c:layout>
                <c:manualLayout>
                  <c:x val="-0.14711729622266401"/>
                  <c:y val="2.8368794326241134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D6F-4D6E-AFE7-AEA5E39E8F53}"/>
                </c:ext>
              </c:extLst>
            </c:dLbl>
            <c:dLbl>
              <c:idx val="3"/>
              <c:layout>
                <c:manualLayout>
                  <c:x val="-0.1312127236580517"/>
                  <c:y val="3.250553465877445E-17"/>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D6F-4D6E-AFE7-AEA5E39E8F5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1"/>
            <c:showCatName val="0"/>
            <c:showSerName val="0"/>
            <c:showPercent val="1"/>
            <c:showBubbleSize val="0"/>
            <c:showLeaderLines val="0"/>
            <c:extLst>
              <c:ext xmlns:c15="http://schemas.microsoft.com/office/drawing/2012/chart" uri="{CE6537A1-D6FC-4f65-9D91-7224C49458BB}"/>
            </c:extLst>
          </c:dLbls>
          <c:cat>
            <c:strRef>
              <c:f>Workbook!$AG$4:$AG$7</c:f>
              <c:strCache>
                <c:ptCount val="4"/>
                <c:pt idx="0">
                  <c:v>Demand Gap</c:v>
                </c:pt>
                <c:pt idx="1">
                  <c:v>Low Priority</c:v>
                </c:pt>
                <c:pt idx="2">
                  <c:v>Review Pricing</c:v>
                </c:pt>
                <c:pt idx="3">
                  <c:v>Well Supplied</c:v>
                </c:pt>
              </c:strCache>
            </c:strRef>
          </c:cat>
          <c:val>
            <c:numRef>
              <c:f>Workbook!$AH$4:$AH$7</c:f>
              <c:numCache>
                <c:formatCode>General</c:formatCode>
                <c:ptCount val="4"/>
                <c:pt idx="0">
                  <c:v>337</c:v>
                </c:pt>
                <c:pt idx="1">
                  <c:v>164</c:v>
                </c:pt>
                <c:pt idx="2">
                  <c:v>177</c:v>
                </c:pt>
                <c:pt idx="3">
                  <c:v>322</c:v>
                </c:pt>
              </c:numCache>
            </c:numRef>
          </c:val>
          <c:extLst>
            <c:ext xmlns:c16="http://schemas.microsoft.com/office/drawing/2014/chart" uri="{C3380CC4-5D6E-409C-BE32-E72D297353CC}">
              <c16:uniqueId val="{00000008-6D6F-4D6E-AFE7-AEA5E39E8F53}"/>
            </c:ext>
          </c:extLst>
        </c:ser>
        <c:dLbls>
          <c:showLegendKey val="0"/>
          <c:showVal val="1"/>
          <c:showCatName val="0"/>
          <c:showSerName val="0"/>
          <c:showPercent val="0"/>
          <c:showBubbleSize val="0"/>
          <c:showLeaderLines val="0"/>
        </c:dLbls>
        <c:firstSliceAng val="0"/>
        <c:holeSize val="38"/>
      </c:doughnutChart>
      <c:spPr>
        <a:noFill/>
        <a:ln>
          <a:noFill/>
        </a:ln>
        <a:effectLst/>
      </c:spPr>
    </c:plotArea>
    <c:legend>
      <c:legendPos val="b"/>
      <c:layout>
        <c:manualLayout>
          <c:xMode val="edge"/>
          <c:yMode val="edge"/>
          <c:x val="2.8950705217513813E-3"/>
          <c:y val="0.88475009772714563"/>
          <c:w val="0.99420985895649727"/>
          <c:h val="0.115249902272854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17588554528872E-2"/>
          <c:y val="8.0291970802919707E-2"/>
          <c:w val="0.87415776555099345"/>
          <c:h val="0.64909937352721403"/>
        </c:manualLayout>
      </c:layout>
      <c:barChart>
        <c:barDir val="bar"/>
        <c:grouping val="clustered"/>
        <c:varyColors val="0"/>
        <c:ser>
          <c:idx val="0"/>
          <c:order val="0"/>
          <c:tx>
            <c:strRef>
              <c:f>Workbook!$AK$14</c:f>
              <c:strCache>
                <c:ptCount val="1"/>
                <c:pt idx="0">
                  <c:v>Average Price (£)</c:v>
                </c:pt>
              </c:strCache>
            </c:strRef>
          </c:tx>
          <c:spPr>
            <a:solidFill>
              <a:schemeClr val="accent1"/>
            </a:solidFill>
            <a:ln>
              <a:noFill/>
            </a:ln>
            <a:effectLst/>
          </c:spPr>
          <c:invertIfNegative val="0"/>
          <c:cat>
            <c:strRef>
              <c:f>Workbook!$AJ$15:$AJ$19</c:f>
              <c:strCache>
                <c:ptCount val="5"/>
                <c:pt idx="0">
                  <c:v>Academic</c:v>
                </c:pt>
                <c:pt idx="1">
                  <c:v>Thriller</c:v>
                </c:pt>
                <c:pt idx="2">
                  <c:v>Classics</c:v>
                </c:pt>
                <c:pt idx="3">
                  <c:v>Poetry</c:v>
                </c:pt>
                <c:pt idx="4">
                  <c:v>Suspense</c:v>
                </c:pt>
              </c:strCache>
            </c:strRef>
          </c:cat>
          <c:val>
            <c:numRef>
              <c:f>Workbook!$AK$15:$AK$19</c:f>
              <c:numCache>
                <c:formatCode>0.00</c:formatCode>
                <c:ptCount val="5"/>
                <c:pt idx="0">
                  <c:v>41.508333333333333</c:v>
                </c:pt>
                <c:pt idx="1">
                  <c:v>36.147037037037038</c:v>
                </c:pt>
                <c:pt idx="2">
                  <c:v>33.68105263157895</c:v>
                </c:pt>
                <c:pt idx="3">
                  <c:v>33.357804878048782</c:v>
                </c:pt>
                <c:pt idx="4">
                  <c:v>33.223030303030299</c:v>
                </c:pt>
              </c:numCache>
            </c:numRef>
          </c:val>
          <c:extLst>
            <c:ext xmlns:c16="http://schemas.microsoft.com/office/drawing/2014/chart" uri="{C3380CC4-5D6E-409C-BE32-E72D297353CC}">
              <c16:uniqueId val="{00000000-9630-4A93-87BA-623F5CD99856}"/>
            </c:ext>
          </c:extLst>
        </c:ser>
        <c:ser>
          <c:idx val="1"/>
          <c:order val="1"/>
          <c:tx>
            <c:strRef>
              <c:f>Workbook!$AL$14</c:f>
              <c:strCache>
                <c:ptCount val="1"/>
                <c:pt idx="0">
                  <c:v>Min Price (£)</c:v>
                </c:pt>
              </c:strCache>
            </c:strRef>
          </c:tx>
          <c:spPr>
            <a:solidFill>
              <a:schemeClr val="accent2"/>
            </a:solidFill>
            <a:ln>
              <a:noFill/>
            </a:ln>
            <a:effectLst/>
          </c:spPr>
          <c:invertIfNegative val="0"/>
          <c:cat>
            <c:strRef>
              <c:f>Workbook!$AJ$15:$AJ$19</c:f>
              <c:strCache>
                <c:ptCount val="5"/>
                <c:pt idx="0">
                  <c:v>Academic</c:v>
                </c:pt>
                <c:pt idx="1">
                  <c:v>Thriller</c:v>
                </c:pt>
                <c:pt idx="2">
                  <c:v>Classics</c:v>
                </c:pt>
                <c:pt idx="3">
                  <c:v>Poetry</c:v>
                </c:pt>
                <c:pt idx="4">
                  <c:v>Suspense</c:v>
                </c:pt>
              </c:strCache>
            </c:strRef>
          </c:cat>
          <c:val>
            <c:numRef>
              <c:f>Workbook!$AL$15:$AL$19</c:f>
              <c:numCache>
                <c:formatCode>0.00</c:formatCode>
                <c:ptCount val="5"/>
                <c:pt idx="0">
                  <c:v>11.28</c:v>
                </c:pt>
                <c:pt idx="1">
                  <c:v>10.57</c:v>
                </c:pt>
                <c:pt idx="2">
                  <c:v>4.87</c:v>
                </c:pt>
                <c:pt idx="3">
                  <c:v>3.18</c:v>
                </c:pt>
                <c:pt idx="4">
                  <c:v>1.1599999999999999</c:v>
                </c:pt>
              </c:numCache>
            </c:numRef>
          </c:val>
          <c:extLst>
            <c:ext xmlns:c16="http://schemas.microsoft.com/office/drawing/2014/chart" uri="{C3380CC4-5D6E-409C-BE32-E72D297353CC}">
              <c16:uniqueId val="{00000001-9630-4A93-87BA-623F5CD99856}"/>
            </c:ext>
          </c:extLst>
        </c:ser>
        <c:ser>
          <c:idx val="2"/>
          <c:order val="2"/>
          <c:tx>
            <c:strRef>
              <c:f>Workbook!$AM$14</c:f>
              <c:strCache>
                <c:ptCount val="1"/>
                <c:pt idx="0">
                  <c:v>Max Price (£)</c:v>
                </c:pt>
              </c:strCache>
            </c:strRef>
          </c:tx>
          <c:spPr>
            <a:solidFill>
              <a:schemeClr val="accent3"/>
            </a:solidFill>
            <a:ln>
              <a:noFill/>
            </a:ln>
            <a:effectLst/>
          </c:spPr>
          <c:invertIfNegative val="0"/>
          <c:cat>
            <c:strRef>
              <c:f>Workbook!$AJ$15:$AJ$19</c:f>
              <c:strCache>
                <c:ptCount val="5"/>
                <c:pt idx="0">
                  <c:v>Academic</c:v>
                </c:pt>
                <c:pt idx="1">
                  <c:v>Thriller</c:v>
                </c:pt>
                <c:pt idx="2">
                  <c:v>Classics</c:v>
                </c:pt>
                <c:pt idx="3">
                  <c:v>Poetry</c:v>
                </c:pt>
                <c:pt idx="4">
                  <c:v>Suspense</c:v>
                </c:pt>
              </c:strCache>
            </c:strRef>
          </c:cat>
          <c:val>
            <c:numRef>
              <c:f>Workbook!$AM$15:$AM$19</c:f>
              <c:numCache>
                <c:formatCode>0.00</c:formatCode>
                <c:ptCount val="5"/>
                <c:pt idx="0">
                  <c:v>59.33</c:v>
                </c:pt>
                <c:pt idx="1">
                  <c:v>58.36</c:v>
                </c:pt>
                <c:pt idx="2">
                  <c:v>57.26</c:v>
                </c:pt>
                <c:pt idx="3">
                  <c:v>59.51</c:v>
                </c:pt>
                <c:pt idx="4">
                  <c:v>58.77</c:v>
                </c:pt>
              </c:numCache>
            </c:numRef>
          </c:val>
          <c:extLst>
            <c:ext xmlns:c16="http://schemas.microsoft.com/office/drawing/2014/chart" uri="{C3380CC4-5D6E-409C-BE32-E72D297353CC}">
              <c16:uniqueId val="{00000002-9630-4A93-87BA-623F5CD99856}"/>
            </c:ext>
          </c:extLst>
        </c:ser>
        <c:dLbls>
          <c:showLegendKey val="0"/>
          <c:showVal val="0"/>
          <c:showCatName val="0"/>
          <c:showSerName val="0"/>
          <c:showPercent val="0"/>
          <c:showBubbleSize val="0"/>
        </c:dLbls>
        <c:gapWidth val="182"/>
        <c:axId val="349833360"/>
        <c:axId val="349824624"/>
      </c:barChart>
      <c:catAx>
        <c:axId val="349833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349824624"/>
        <c:crosses val="autoZero"/>
        <c:auto val="1"/>
        <c:lblAlgn val="ctr"/>
        <c:lblOffset val="100"/>
        <c:noMultiLvlLbl val="0"/>
      </c:catAx>
      <c:valAx>
        <c:axId val="349824624"/>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349833360"/>
        <c:crosses val="autoZero"/>
        <c:crossBetween val="between"/>
      </c:valAx>
      <c:spPr>
        <a:noFill/>
        <a:ln>
          <a:noFill/>
        </a:ln>
        <a:effectLst/>
      </c:spPr>
    </c:plotArea>
    <c:legend>
      <c:legendPos val="b"/>
      <c:layout>
        <c:manualLayout>
          <c:xMode val="edge"/>
          <c:yMode val="edge"/>
          <c:x val="0.28646494974591469"/>
          <c:y val="0.87682395539973557"/>
          <c:w val="0.42707010050817051"/>
          <c:h val="8.667969423530086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23</xdr:col>
      <xdr:colOff>485775</xdr:colOff>
      <xdr:row>35</xdr:row>
      <xdr:rowOff>142875</xdr:rowOff>
    </xdr:from>
    <xdr:to>
      <xdr:col>28</xdr:col>
      <xdr:colOff>0</xdr:colOff>
      <xdr:row>50</xdr:row>
      <xdr:rowOff>123825</xdr:rowOff>
    </xdr:to>
    <xdr:graphicFrame macro="">
      <xdr:nvGraphicFramePr>
        <xdr:cNvPr id="3" name="Chart 2">
          <a:extLst>
            <a:ext uri="{FF2B5EF4-FFF2-40B4-BE49-F238E27FC236}">
              <a16:creationId xmlns:a16="http://schemas.microsoft.com/office/drawing/2014/main" id="{685B4961-50CE-44CB-9238-98419C0938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644525</xdr:colOff>
      <xdr:row>5</xdr:row>
      <xdr:rowOff>95250</xdr:rowOff>
    </xdr:from>
    <xdr:to>
      <xdr:col>35</xdr:col>
      <xdr:colOff>860425</xdr:colOff>
      <xdr:row>20</xdr:row>
      <xdr:rowOff>76200</xdr:rowOff>
    </xdr:to>
    <xdr:graphicFrame macro="">
      <xdr:nvGraphicFramePr>
        <xdr:cNvPr id="5" name="Chart 4">
          <a:extLst>
            <a:ext uri="{FF2B5EF4-FFF2-40B4-BE49-F238E27FC236}">
              <a16:creationId xmlns:a16="http://schemas.microsoft.com/office/drawing/2014/main" id="{6BBC8E0D-036B-4FD5-83E4-D3A444054F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6350</xdr:colOff>
      <xdr:row>0</xdr:row>
      <xdr:rowOff>25400</xdr:rowOff>
    </xdr:from>
    <xdr:to>
      <xdr:col>17</xdr:col>
      <xdr:colOff>82550</xdr:colOff>
      <xdr:row>2</xdr:row>
      <xdr:rowOff>146050</xdr:rowOff>
    </xdr:to>
    <xdr:sp macro="" textlink="">
      <xdr:nvSpPr>
        <xdr:cNvPr id="2" name="Rectangle 1">
          <a:extLst>
            <a:ext uri="{FF2B5EF4-FFF2-40B4-BE49-F238E27FC236}">
              <a16:creationId xmlns:a16="http://schemas.microsoft.com/office/drawing/2014/main" id="{D97979D4-6B08-4A3A-A99F-DDC59DEFCACF}"/>
            </a:ext>
          </a:extLst>
        </xdr:cNvPr>
        <xdr:cNvSpPr/>
      </xdr:nvSpPr>
      <xdr:spPr>
        <a:xfrm>
          <a:off x="6350" y="25400"/>
          <a:ext cx="10439400" cy="628650"/>
        </a:xfrm>
        <a:prstGeom prst="rect">
          <a:avLst/>
        </a:prstGeom>
        <a:solidFill>
          <a:srgbClr val="1A3A4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chemeClr val="bg1"/>
              </a:solidFill>
              <a:latin typeface="Segoe UI" panose="020B0502040204020203" pitchFamily="34" charset="0"/>
              <a:ea typeface="+mn-ea"/>
              <a:cs typeface="Segoe UI" panose="020B0502040204020203" pitchFamily="34" charset="0"/>
            </a:rPr>
            <a:t>BOOK MARKET - MARKETING</a:t>
          </a:r>
          <a:r>
            <a:rPr lang="en-US" sz="2000" b="1" baseline="0">
              <a:solidFill>
                <a:schemeClr val="bg1"/>
              </a:solidFill>
              <a:latin typeface="Segoe UI" panose="020B0502040204020203" pitchFamily="34" charset="0"/>
              <a:ea typeface="+mn-ea"/>
              <a:cs typeface="Segoe UI" panose="020B0502040204020203" pitchFamily="34" charset="0"/>
            </a:rPr>
            <a:t> </a:t>
          </a:r>
          <a:r>
            <a:rPr lang="en-US" sz="2000" b="1">
              <a:solidFill>
                <a:schemeClr val="bg1"/>
              </a:solidFill>
              <a:latin typeface="Segoe UI" panose="020B0502040204020203" pitchFamily="34" charset="0"/>
              <a:ea typeface="+mn-ea"/>
              <a:cs typeface="Segoe UI" panose="020B0502040204020203" pitchFamily="34" charset="0"/>
            </a:rPr>
            <a:t>INTELLIGENCE DASHBOARD</a:t>
          </a:r>
          <a:br>
            <a:rPr lang="en-US" sz="2400" b="1">
              <a:solidFill>
                <a:schemeClr val="bg1"/>
              </a:solidFill>
              <a:latin typeface="Segoe UI" panose="020B0502040204020203" pitchFamily="34" charset="0"/>
              <a:ea typeface="+mn-ea"/>
              <a:cs typeface="Segoe UI" panose="020B0502040204020203" pitchFamily="34" charset="0"/>
            </a:rPr>
          </a:br>
          <a:r>
            <a:rPr lang="en-US" sz="1100" b="0" i="0">
              <a:solidFill>
                <a:schemeClr val="bg1"/>
              </a:solidFill>
              <a:effectLst/>
              <a:latin typeface="+mn-lt"/>
              <a:ea typeface="+mn-ea"/>
              <a:cs typeface="+mn-cs"/>
            </a:rPr>
            <a:t>Digital Business Unit  |  </a:t>
          </a:r>
          <a:r>
            <a:rPr lang="en-US" sz="1100">
              <a:solidFill>
                <a:schemeClr val="bg1"/>
              </a:solidFill>
            </a:rPr>
            <a:t>Genre Performance, Pricing Strategy &amp; Demand Analysis</a:t>
          </a:r>
          <a:endParaRPr lang="en-KE" sz="1100" b="1">
            <a:solidFill>
              <a:schemeClr val="bg1"/>
            </a:solidFill>
            <a:latin typeface="Segoe UI" panose="020B0502040204020203" pitchFamily="34" charset="0"/>
            <a:ea typeface="+mn-ea"/>
            <a:cs typeface="Segoe UI" panose="020B0502040204020203" pitchFamily="34" charset="0"/>
          </a:endParaRPr>
        </a:p>
      </xdr:txBody>
    </xdr:sp>
    <xdr:clientData/>
  </xdr:twoCellAnchor>
  <xdr:twoCellAnchor>
    <xdr:from>
      <xdr:col>0</xdr:col>
      <xdr:colOff>6350</xdr:colOff>
      <xdr:row>2</xdr:row>
      <xdr:rowOff>177800</xdr:rowOff>
    </xdr:from>
    <xdr:to>
      <xdr:col>17</xdr:col>
      <xdr:colOff>69850</xdr:colOff>
      <xdr:row>3</xdr:row>
      <xdr:rowOff>0</xdr:rowOff>
    </xdr:to>
    <xdr:sp macro="" textlink="">
      <xdr:nvSpPr>
        <xdr:cNvPr id="3" name="Rectangle 2">
          <a:extLst>
            <a:ext uri="{FF2B5EF4-FFF2-40B4-BE49-F238E27FC236}">
              <a16:creationId xmlns:a16="http://schemas.microsoft.com/office/drawing/2014/main" id="{C194C8D4-0277-4D09-A525-CAD7F4D6DE30}"/>
            </a:ext>
          </a:extLst>
        </xdr:cNvPr>
        <xdr:cNvSpPr/>
      </xdr:nvSpPr>
      <xdr:spPr>
        <a:xfrm>
          <a:off x="6350" y="685800"/>
          <a:ext cx="10426700" cy="146050"/>
        </a:xfrm>
        <a:prstGeom prst="rect">
          <a:avLst/>
        </a:prstGeom>
        <a:solidFill>
          <a:srgbClr val="E8601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a:solidFill>
                <a:schemeClr val="bg1"/>
              </a:solidFill>
              <a:effectLst/>
              <a:latin typeface="+mn-lt"/>
              <a:ea typeface="+mn-ea"/>
              <a:cs typeface="+mn-cs"/>
            </a:rPr>
            <a:t>Analyst:</a:t>
          </a:r>
          <a:r>
            <a:rPr lang="en-US" sz="1100" b="1" i="0" baseline="0">
              <a:solidFill>
                <a:schemeClr val="bg1"/>
              </a:solidFill>
              <a:effectLst/>
              <a:latin typeface="+mn-lt"/>
              <a:ea typeface="+mn-ea"/>
              <a:cs typeface="+mn-cs"/>
            </a:rPr>
            <a:t> Benard Musyoka Mwinzi | </a:t>
          </a:r>
          <a:r>
            <a:rPr lang="en-US" sz="1100" b="1" i="0">
              <a:solidFill>
                <a:schemeClr val="bg1"/>
              </a:solidFill>
              <a:effectLst/>
              <a:latin typeface="+mn-lt"/>
              <a:ea typeface="+mn-ea"/>
              <a:cs typeface="+mn-cs"/>
            </a:rPr>
            <a:t>1,000 titles  |  30 genres  |June 2026</a:t>
          </a:r>
          <a:endParaRPr lang="en-KE" sz="1100" b="1">
            <a:solidFill>
              <a:schemeClr val="bg1"/>
            </a:solidFill>
          </a:endParaRPr>
        </a:p>
      </xdr:txBody>
    </xdr:sp>
    <xdr:clientData/>
  </xdr:twoCellAnchor>
  <xdr:twoCellAnchor>
    <xdr:from>
      <xdr:col>0</xdr:col>
      <xdr:colOff>0</xdr:colOff>
      <xdr:row>3</xdr:row>
      <xdr:rowOff>0</xdr:rowOff>
    </xdr:from>
    <xdr:to>
      <xdr:col>17</xdr:col>
      <xdr:colOff>95250</xdr:colOff>
      <xdr:row>5</xdr:row>
      <xdr:rowOff>25600</xdr:rowOff>
    </xdr:to>
    <xdr:sp macro="" textlink="">
      <xdr:nvSpPr>
        <xdr:cNvPr id="5" name="Rectangle: Rounded Corners 4">
          <a:extLst>
            <a:ext uri="{FF2B5EF4-FFF2-40B4-BE49-F238E27FC236}">
              <a16:creationId xmlns:a16="http://schemas.microsoft.com/office/drawing/2014/main" id="{97AF235C-D36B-4F2E-B29E-9E2C44AD2776}"/>
            </a:ext>
          </a:extLst>
        </xdr:cNvPr>
        <xdr:cNvSpPr/>
      </xdr:nvSpPr>
      <xdr:spPr>
        <a:xfrm>
          <a:off x="0" y="831850"/>
          <a:ext cx="10458450" cy="432000"/>
        </a:xfrm>
        <a:prstGeom prst="roundRect">
          <a:avLst>
            <a:gd name="adj" fmla="val 13189"/>
          </a:avLst>
        </a:prstGeom>
        <a:solidFill>
          <a:srgbClr val="F3F3F3"/>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0</xdr:col>
      <xdr:colOff>0</xdr:colOff>
      <xdr:row>2</xdr:row>
      <xdr:rowOff>309792</xdr:rowOff>
    </xdr:from>
    <xdr:to>
      <xdr:col>1</xdr:col>
      <xdr:colOff>0</xdr:colOff>
      <xdr:row>5</xdr:row>
      <xdr:rowOff>0</xdr:rowOff>
    </xdr:to>
    <xdr:sp macro="" textlink="">
      <xdr:nvSpPr>
        <xdr:cNvPr id="6" name="TextBox 5">
          <a:extLst>
            <a:ext uri="{FF2B5EF4-FFF2-40B4-BE49-F238E27FC236}">
              <a16:creationId xmlns:a16="http://schemas.microsoft.com/office/drawing/2014/main" id="{74C512DE-FA97-4E6F-9534-8F62C6FF555A}"/>
            </a:ext>
          </a:extLst>
        </xdr:cNvPr>
        <xdr:cNvSpPr txBox="1"/>
      </xdr:nvSpPr>
      <xdr:spPr>
        <a:xfrm>
          <a:off x="0" y="817792"/>
          <a:ext cx="609600" cy="420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solidFill>
              <a:latin typeface="Segoe UI" panose="020B0502040204020203" pitchFamily="34" charset="0"/>
              <a:cs typeface="Segoe UI" panose="020B0502040204020203" pitchFamily="34" charset="0"/>
            </a:rPr>
            <a:t>Genre</a:t>
          </a:r>
          <a:r>
            <a:rPr lang="en-US" sz="1000" b="1">
              <a:solidFill>
                <a:schemeClr val="tx1"/>
              </a:solidFill>
              <a:latin typeface="Segoe UI" panose="020B0502040204020203" pitchFamily="34" charset="0"/>
              <a:cs typeface="Segoe UI" panose="020B0502040204020203" pitchFamily="34" charset="0"/>
            </a:rPr>
            <a:t> </a:t>
          </a:r>
          <a:endParaRPr lang="en-KE" sz="1000" b="1">
            <a:solidFill>
              <a:schemeClr val="tx1"/>
            </a:solidFill>
            <a:latin typeface="Segoe UI" panose="020B0502040204020203" pitchFamily="34" charset="0"/>
            <a:cs typeface="Segoe UI" panose="020B0502040204020203" pitchFamily="34" charset="0"/>
          </a:endParaRPr>
        </a:p>
      </xdr:txBody>
    </xdr:sp>
    <xdr:clientData/>
  </xdr:twoCellAnchor>
  <xdr:twoCellAnchor editAs="oneCell">
    <xdr:from>
      <xdr:col>2</xdr:col>
      <xdr:colOff>558800</xdr:colOff>
      <xdr:row>3</xdr:row>
      <xdr:rowOff>44450</xdr:rowOff>
    </xdr:from>
    <xdr:to>
      <xdr:col>17</xdr:col>
      <xdr:colOff>69850</xdr:colOff>
      <xdr:row>5</xdr:row>
      <xdr:rowOff>44450</xdr:rowOff>
    </xdr:to>
    <mc:AlternateContent xmlns:mc="http://schemas.openxmlformats.org/markup-compatibility/2006" xmlns:a14="http://schemas.microsoft.com/office/drawing/2010/main">
      <mc:Choice Requires="a14">
        <xdr:graphicFrame macro="">
          <xdr:nvGraphicFramePr>
            <xdr:cNvPr id="8" name="Genre Filter 1">
              <a:extLst>
                <a:ext uri="{FF2B5EF4-FFF2-40B4-BE49-F238E27FC236}">
                  <a16:creationId xmlns:a16="http://schemas.microsoft.com/office/drawing/2014/main" id="{80507376-572C-4D18-ABE4-2B9CDFE400F9}"/>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Genre Filter 1"/>
            </a:graphicData>
          </a:graphic>
        </xdr:graphicFrame>
      </mc:Choice>
      <mc:Fallback xmlns="">
        <xdr:sp macro="" textlink="">
          <xdr:nvSpPr>
            <xdr:cNvPr id="0" name=""/>
            <xdr:cNvSpPr>
              <a:spLocks noTextEdit="1"/>
            </xdr:cNvSpPr>
          </xdr:nvSpPr>
          <xdr:spPr>
            <a:xfrm>
              <a:off x="1778000" y="876300"/>
              <a:ext cx="8655050" cy="406400"/>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3</xdr:row>
      <xdr:rowOff>120650</xdr:rowOff>
    </xdr:from>
    <xdr:to>
      <xdr:col>3</xdr:col>
      <xdr:colOff>0</xdr:colOff>
      <xdr:row>4</xdr:row>
      <xdr:rowOff>157432</xdr:rowOff>
    </xdr:to>
    <xdr:sp macro="[0]!ClearGenreSlicer" textlink="">
      <xdr:nvSpPr>
        <xdr:cNvPr id="9" name="Rectangle: Rounded Corners 8">
          <a:extLst>
            <a:ext uri="{FF2B5EF4-FFF2-40B4-BE49-F238E27FC236}">
              <a16:creationId xmlns:a16="http://schemas.microsoft.com/office/drawing/2014/main" id="{D5D9E180-E4A1-4BA2-89A2-CE37AD284232}"/>
            </a:ext>
          </a:extLst>
        </xdr:cNvPr>
        <xdr:cNvSpPr/>
      </xdr:nvSpPr>
      <xdr:spPr>
        <a:xfrm>
          <a:off x="609600" y="952500"/>
          <a:ext cx="1219200" cy="189182"/>
        </a:xfrm>
        <a:prstGeom prst="roundRect">
          <a:avLst/>
        </a:prstGeom>
        <a:solidFill>
          <a:srgbClr val="18384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All</a:t>
          </a:r>
          <a:endParaRPr lang="en-KE" sz="1100" b="1">
            <a:solidFill>
              <a:schemeClr val="bg1"/>
            </a:solidFill>
          </a:endParaRPr>
        </a:p>
      </xdr:txBody>
    </xdr:sp>
    <xdr:clientData/>
  </xdr:twoCellAnchor>
  <xdr:twoCellAnchor>
    <xdr:from>
      <xdr:col>0</xdr:col>
      <xdr:colOff>0</xdr:colOff>
      <xdr:row>5</xdr:row>
      <xdr:rowOff>88900</xdr:rowOff>
    </xdr:from>
    <xdr:to>
      <xdr:col>12</xdr:col>
      <xdr:colOff>0</xdr:colOff>
      <xdr:row>7</xdr:row>
      <xdr:rowOff>12900</xdr:rowOff>
    </xdr:to>
    <xdr:sp macro="" textlink="">
      <xdr:nvSpPr>
        <xdr:cNvPr id="11" name="Rectangle: Rounded Corners 10">
          <a:extLst>
            <a:ext uri="{FF2B5EF4-FFF2-40B4-BE49-F238E27FC236}">
              <a16:creationId xmlns:a16="http://schemas.microsoft.com/office/drawing/2014/main" id="{8CA5C7E8-6A30-41A6-92A1-25B27ED17F6C}"/>
            </a:ext>
          </a:extLst>
        </xdr:cNvPr>
        <xdr:cNvSpPr/>
      </xdr:nvSpPr>
      <xdr:spPr>
        <a:xfrm>
          <a:off x="0" y="1327150"/>
          <a:ext cx="7315200" cy="432000"/>
        </a:xfrm>
        <a:prstGeom prst="roundRect">
          <a:avLst>
            <a:gd name="adj" fmla="val 13189"/>
          </a:avLst>
        </a:prstGeom>
        <a:solidFill>
          <a:srgbClr val="F3F3F3"/>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editAs="oneCell">
    <xdr:from>
      <xdr:col>4</xdr:col>
      <xdr:colOff>488950</xdr:colOff>
      <xdr:row>5</xdr:row>
      <xdr:rowOff>95250</xdr:rowOff>
    </xdr:from>
    <xdr:to>
      <xdr:col>12</xdr:col>
      <xdr:colOff>6350</xdr:colOff>
      <xdr:row>6</xdr:row>
      <xdr:rowOff>201250</xdr:rowOff>
    </xdr:to>
    <mc:AlternateContent xmlns:mc="http://schemas.openxmlformats.org/markup-compatibility/2006" xmlns:a14="http://schemas.microsoft.com/office/drawing/2010/main">
      <mc:Choice Requires="a14">
        <xdr:graphicFrame macro="">
          <xdr:nvGraphicFramePr>
            <xdr:cNvPr id="12" name="Demand Analysis">
              <a:extLst>
                <a:ext uri="{FF2B5EF4-FFF2-40B4-BE49-F238E27FC236}">
                  <a16:creationId xmlns:a16="http://schemas.microsoft.com/office/drawing/2014/main" id="{BECCE7A2-0D22-42BD-B624-8A392C250CFA}"/>
                </a:ext>
              </a:extLst>
            </xdr:cNvPr>
            <xdr:cNvGraphicFramePr/>
          </xdr:nvGraphicFramePr>
          <xdr:xfrm>
            <a:off x="0" y="0"/>
            <a:ext cx="0" cy="0"/>
          </xdr:xfrm>
          <a:graphic>
            <a:graphicData uri="http://schemas.microsoft.com/office/drawing/2010/slicer">
              <sle:slicer xmlns:sle="http://schemas.microsoft.com/office/drawing/2010/slicer" name="Demand Analysis"/>
            </a:graphicData>
          </a:graphic>
        </xdr:graphicFrame>
      </mc:Choice>
      <mc:Fallback xmlns="">
        <xdr:sp macro="" textlink="">
          <xdr:nvSpPr>
            <xdr:cNvPr id="0" name=""/>
            <xdr:cNvSpPr>
              <a:spLocks noTextEdit="1"/>
            </xdr:cNvSpPr>
          </xdr:nvSpPr>
          <xdr:spPr>
            <a:xfrm>
              <a:off x="2927350" y="1333500"/>
              <a:ext cx="4394200" cy="360000"/>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50800</xdr:colOff>
      <xdr:row>5</xdr:row>
      <xdr:rowOff>100242</xdr:rowOff>
    </xdr:from>
    <xdr:to>
      <xdr:col>2</xdr:col>
      <xdr:colOff>381000</xdr:colOff>
      <xdr:row>7</xdr:row>
      <xdr:rowOff>12700</xdr:rowOff>
    </xdr:to>
    <xdr:sp macro="" textlink="">
      <xdr:nvSpPr>
        <xdr:cNvPr id="13" name="TextBox 12">
          <a:extLst>
            <a:ext uri="{FF2B5EF4-FFF2-40B4-BE49-F238E27FC236}">
              <a16:creationId xmlns:a16="http://schemas.microsoft.com/office/drawing/2014/main" id="{0785567E-8786-407C-946D-0D75F4AAE3B1}"/>
            </a:ext>
          </a:extLst>
        </xdr:cNvPr>
        <xdr:cNvSpPr txBox="1"/>
      </xdr:nvSpPr>
      <xdr:spPr>
        <a:xfrm>
          <a:off x="50800" y="1338492"/>
          <a:ext cx="1549400" cy="420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solidFill>
              <a:latin typeface="Segoe UI" panose="020B0502040204020203" pitchFamily="34" charset="0"/>
              <a:cs typeface="Segoe UI" panose="020B0502040204020203" pitchFamily="34" charset="0"/>
            </a:rPr>
            <a:t>Demand</a:t>
          </a:r>
          <a:r>
            <a:rPr lang="en-US" sz="1200" b="1" baseline="0">
              <a:solidFill>
                <a:schemeClr val="tx1"/>
              </a:solidFill>
              <a:latin typeface="Segoe UI" panose="020B0502040204020203" pitchFamily="34" charset="0"/>
              <a:cs typeface="Segoe UI" panose="020B0502040204020203" pitchFamily="34" charset="0"/>
            </a:rPr>
            <a:t> Category</a:t>
          </a:r>
          <a:endParaRPr lang="en-KE" sz="1000" b="1">
            <a:solidFill>
              <a:schemeClr val="tx1"/>
            </a:solidFill>
            <a:latin typeface="Segoe UI" panose="020B0502040204020203" pitchFamily="34" charset="0"/>
            <a:cs typeface="Segoe UI" panose="020B0502040204020203" pitchFamily="34" charset="0"/>
          </a:endParaRPr>
        </a:p>
      </xdr:txBody>
    </xdr:sp>
    <xdr:clientData/>
  </xdr:twoCellAnchor>
  <xdr:twoCellAnchor>
    <xdr:from>
      <xdr:col>2</xdr:col>
      <xdr:colOff>393700</xdr:colOff>
      <xdr:row>5</xdr:row>
      <xdr:rowOff>209550</xdr:rowOff>
    </xdr:from>
    <xdr:to>
      <xdr:col>4</xdr:col>
      <xdr:colOff>273050</xdr:colOff>
      <xdr:row>6</xdr:row>
      <xdr:rowOff>184150</xdr:rowOff>
    </xdr:to>
    <xdr:sp macro="[0]!ClearDemandCategory" textlink="">
      <xdr:nvSpPr>
        <xdr:cNvPr id="7" name="Rectangle: Rounded Corners 6">
          <a:extLst>
            <a:ext uri="{FF2B5EF4-FFF2-40B4-BE49-F238E27FC236}">
              <a16:creationId xmlns:a16="http://schemas.microsoft.com/office/drawing/2014/main" id="{BA078A5F-746B-4744-9C7A-844FA3414682}"/>
            </a:ext>
          </a:extLst>
        </xdr:cNvPr>
        <xdr:cNvSpPr/>
      </xdr:nvSpPr>
      <xdr:spPr>
        <a:xfrm>
          <a:off x="1612900" y="1447800"/>
          <a:ext cx="1098550" cy="228600"/>
        </a:xfrm>
        <a:prstGeom prst="roundRect">
          <a:avLst/>
        </a:prstGeom>
        <a:solidFill>
          <a:srgbClr val="18384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bg1"/>
              </a:solidFill>
              <a:latin typeface="+mn-lt"/>
              <a:ea typeface="+mn-ea"/>
              <a:cs typeface="+mn-cs"/>
            </a:rPr>
            <a:t>All</a:t>
          </a:r>
          <a:endParaRPr lang="en-KE" sz="1100" b="1">
            <a:solidFill>
              <a:schemeClr val="bg1"/>
            </a:solidFill>
            <a:latin typeface="+mn-lt"/>
            <a:ea typeface="+mn-ea"/>
            <a:cs typeface="+mn-cs"/>
          </a:endParaRPr>
        </a:p>
      </xdr:txBody>
    </xdr:sp>
    <xdr:clientData/>
  </xdr:twoCellAnchor>
  <xdr:twoCellAnchor>
    <xdr:from>
      <xdr:col>0</xdr:col>
      <xdr:colOff>120651</xdr:colOff>
      <xdr:row>7</xdr:row>
      <xdr:rowOff>95250</xdr:rowOff>
    </xdr:from>
    <xdr:to>
      <xdr:col>2</xdr:col>
      <xdr:colOff>341451</xdr:colOff>
      <xdr:row>11</xdr:row>
      <xdr:rowOff>159250</xdr:rowOff>
    </xdr:to>
    <xdr:sp macro="" textlink="">
      <xdr:nvSpPr>
        <xdr:cNvPr id="22" name="Rectangle: Rounded Corners 21">
          <a:extLst>
            <a:ext uri="{FF2B5EF4-FFF2-40B4-BE49-F238E27FC236}">
              <a16:creationId xmlns:a16="http://schemas.microsoft.com/office/drawing/2014/main" id="{212B8DC0-11A1-4337-A162-8F3181490D4C}"/>
            </a:ext>
          </a:extLst>
        </xdr:cNvPr>
        <xdr:cNvSpPr/>
      </xdr:nvSpPr>
      <xdr:spPr>
        <a:xfrm>
          <a:off x="120651" y="1841500"/>
          <a:ext cx="1440000" cy="10800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2</xdr:col>
      <xdr:colOff>501650</xdr:colOff>
      <xdr:row>7</xdr:row>
      <xdr:rowOff>95250</xdr:rowOff>
    </xdr:from>
    <xdr:to>
      <xdr:col>5</xdr:col>
      <xdr:colOff>368300</xdr:colOff>
      <xdr:row>11</xdr:row>
      <xdr:rowOff>159250</xdr:rowOff>
    </xdr:to>
    <xdr:sp macro="" textlink="">
      <xdr:nvSpPr>
        <xdr:cNvPr id="23" name="Rectangle: Rounded Corners 22">
          <a:extLst>
            <a:ext uri="{FF2B5EF4-FFF2-40B4-BE49-F238E27FC236}">
              <a16:creationId xmlns:a16="http://schemas.microsoft.com/office/drawing/2014/main" id="{92BF76EE-F916-4FBB-AC5E-08F270A22C02}"/>
            </a:ext>
          </a:extLst>
        </xdr:cNvPr>
        <xdr:cNvSpPr/>
      </xdr:nvSpPr>
      <xdr:spPr>
        <a:xfrm>
          <a:off x="1720850" y="1841500"/>
          <a:ext cx="1695450" cy="10800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KE" sz="1100">
            <a:solidFill>
              <a:schemeClr val="lt1"/>
            </a:solidFill>
            <a:latin typeface="+mn-lt"/>
            <a:ea typeface="+mn-ea"/>
            <a:cs typeface="+mn-cs"/>
          </a:endParaRPr>
        </a:p>
      </xdr:txBody>
    </xdr:sp>
    <xdr:clientData/>
  </xdr:twoCellAnchor>
  <xdr:twoCellAnchor>
    <xdr:from>
      <xdr:col>5</xdr:col>
      <xdr:colOff>570160</xdr:colOff>
      <xdr:row>7</xdr:row>
      <xdr:rowOff>95250</xdr:rowOff>
    </xdr:from>
    <xdr:to>
      <xdr:col>8</xdr:col>
      <xdr:colOff>181360</xdr:colOff>
      <xdr:row>11</xdr:row>
      <xdr:rowOff>159250</xdr:rowOff>
    </xdr:to>
    <xdr:sp macro="" textlink="">
      <xdr:nvSpPr>
        <xdr:cNvPr id="24" name="Rectangle: Rounded Corners 23">
          <a:extLst>
            <a:ext uri="{FF2B5EF4-FFF2-40B4-BE49-F238E27FC236}">
              <a16:creationId xmlns:a16="http://schemas.microsoft.com/office/drawing/2014/main" id="{B11930C6-45E2-49AB-BD8E-A1EA81123D4F}"/>
            </a:ext>
          </a:extLst>
        </xdr:cNvPr>
        <xdr:cNvSpPr/>
      </xdr:nvSpPr>
      <xdr:spPr>
        <a:xfrm>
          <a:off x="3618160" y="1841500"/>
          <a:ext cx="1440000" cy="10800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KE" sz="1100">
            <a:solidFill>
              <a:schemeClr val="lt1"/>
            </a:solidFill>
            <a:latin typeface="+mn-lt"/>
            <a:ea typeface="+mn-ea"/>
            <a:cs typeface="+mn-cs"/>
          </a:endParaRPr>
        </a:p>
      </xdr:txBody>
    </xdr:sp>
    <xdr:clientData/>
  </xdr:twoCellAnchor>
  <xdr:twoCellAnchor>
    <xdr:from>
      <xdr:col>8</xdr:col>
      <xdr:colOff>449510</xdr:colOff>
      <xdr:row>7</xdr:row>
      <xdr:rowOff>95250</xdr:rowOff>
    </xdr:from>
    <xdr:to>
      <xdr:col>11</xdr:col>
      <xdr:colOff>60710</xdr:colOff>
      <xdr:row>11</xdr:row>
      <xdr:rowOff>159250</xdr:rowOff>
    </xdr:to>
    <xdr:sp macro="" textlink="">
      <xdr:nvSpPr>
        <xdr:cNvPr id="25" name="Rectangle: Rounded Corners 24">
          <a:extLst>
            <a:ext uri="{FF2B5EF4-FFF2-40B4-BE49-F238E27FC236}">
              <a16:creationId xmlns:a16="http://schemas.microsoft.com/office/drawing/2014/main" id="{9BCA28B9-0478-4815-B841-4EC8F54FD06D}"/>
            </a:ext>
          </a:extLst>
        </xdr:cNvPr>
        <xdr:cNvSpPr/>
      </xdr:nvSpPr>
      <xdr:spPr>
        <a:xfrm>
          <a:off x="5326310" y="1841500"/>
          <a:ext cx="1440000" cy="10800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KE" sz="1100">
            <a:solidFill>
              <a:schemeClr val="lt1"/>
            </a:solidFill>
            <a:latin typeface="+mn-lt"/>
            <a:ea typeface="+mn-ea"/>
            <a:cs typeface="+mn-cs"/>
          </a:endParaRPr>
        </a:p>
      </xdr:txBody>
    </xdr:sp>
    <xdr:clientData/>
  </xdr:twoCellAnchor>
  <xdr:twoCellAnchor>
    <xdr:from>
      <xdr:col>0</xdr:col>
      <xdr:colOff>203200</xdr:colOff>
      <xdr:row>7</xdr:row>
      <xdr:rowOff>133350</xdr:rowOff>
    </xdr:from>
    <xdr:to>
      <xdr:col>2</xdr:col>
      <xdr:colOff>266700</xdr:colOff>
      <xdr:row>8</xdr:row>
      <xdr:rowOff>158750</xdr:rowOff>
    </xdr:to>
    <xdr:sp macro="" textlink="">
      <xdr:nvSpPr>
        <xdr:cNvPr id="26" name="Rectangle: Rounded Corners 25">
          <a:extLst>
            <a:ext uri="{FF2B5EF4-FFF2-40B4-BE49-F238E27FC236}">
              <a16:creationId xmlns:a16="http://schemas.microsoft.com/office/drawing/2014/main" id="{5237BA9A-769D-4E51-8544-B870A09C25B2}"/>
            </a:ext>
          </a:extLst>
        </xdr:cNvPr>
        <xdr:cNvSpPr/>
      </xdr:nvSpPr>
      <xdr:spPr>
        <a:xfrm>
          <a:off x="203200" y="1879600"/>
          <a:ext cx="1282700" cy="2794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solidFill>
                <a:schemeClr val="tx1"/>
              </a:solidFill>
              <a:latin typeface="Arial Black" panose="020B0A04020102020204" pitchFamily="34" charset="0"/>
            </a:rPr>
            <a:t>Total Books</a:t>
          </a:r>
          <a:endParaRPr lang="en-KE" sz="1200" b="1">
            <a:solidFill>
              <a:schemeClr val="tx1"/>
            </a:solidFill>
            <a:latin typeface="Arial Black" panose="020B0A04020102020204" pitchFamily="34" charset="0"/>
          </a:endParaRPr>
        </a:p>
      </xdr:txBody>
    </xdr:sp>
    <xdr:clientData/>
  </xdr:twoCellAnchor>
  <xdr:twoCellAnchor>
    <xdr:from>
      <xdr:col>0</xdr:col>
      <xdr:colOff>203200</xdr:colOff>
      <xdr:row>9</xdr:row>
      <xdr:rowOff>0</xdr:rowOff>
    </xdr:from>
    <xdr:to>
      <xdr:col>2</xdr:col>
      <xdr:colOff>266700</xdr:colOff>
      <xdr:row>10</xdr:row>
      <xdr:rowOff>25400</xdr:rowOff>
    </xdr:to>
    <xdr:sp macro="" textlink="Workbook!AO5">
      <xdr:nvSpPr>
        <xdr:cNvPr id="27" name="Rectangle: Rounded Corners 26">
          <a:extLst>
            <a:ext uri="{FF2B5EF4-FFF2-40B4-BE49-F238E27FC236}">
              <a16:creationId xmlns:a16="http://schemas.microsoft.com/office/drawing/2014/main" id="{D4CB196D-E99B-45C5-AF98-EBA069F6B45D}"/>
            </a:ext>
          </a:extLst>
        </xdr:cNvPr>
        <xdr:cNvSpPr/>
      </xdr:nvSpPr>
      <xdr:spPr>
        <a:xfrm>
          <a:off x="203200" y="2254250"/>
          <a:ext cx="1282700" cy="2794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F152C66-40EF-4022-A468-F915C51031C7}" type="TxLink">
            <a:rPr lang="en-US" sz="2000" b="1" i="0" u="none" strike="noStrike">
              <a:solidFill>
                <a:srgbClr val="E0615B"/>
              </a:solidFill>
              <a:latin typeface="Arial" panose="020B0604020202020204" pitchFamily="34" charset="0"/>
              <a:cs typeface="Arial" panose="020B0604020202020204" pitchFamily="34" charset="0"/>
            </a:rPr>
            <a:pPr algn="ctr"/>
            <a:t>1,000</a:t>
          </a:fld>
          <a:endParaRPr lang="en-KE" sz="2000" b="1">
            <a:solidFill>
              <a:srgbClr val="E0615B"/>
            </a:solidFill>
            <a:latin typeface="Arial" panose="020B0604020202020204" pitchFamily="34" charset="0"/>
            <a:cs typeface="Arial" panose="020B0604020202020204" pitchFamily="34" charset="0"/>
          </a:endParaRPr>
        </a:p>
      </xdr:txBody>
    </xdr:sp>
    <xdr:clientData/>
  </xdr:twoCellAnchor>
  <xdr:twoCellAnchor>
    <xdr:from>
      <xdr:col>0</xdr:col>
      <xdr:colOff>203200</xdr:colOff>
      <xdr:row>10</xdr:row>
      <xdr:rowOff>88900</xdr:rowOff>
    </xdr:from>
    <xdr:to>
      <xdr:col>2</xdr:col>
      <xdr:colOff>266700</xdr:colOff>
      <xdr:row>11</xdr:row>
      <xdr:rowOff>114300</xdr:rowOff>
    </xdr:to>
    <xdr:sp macro="" textlink="Workbook!AO10">
      <xdr:nvSpPr>
        <xdr:cNvPr id="28" name="Rectangle: Rounded Corners 27">
          <a:extLst>
            <a:ext uri="{FF2B5EF4-FFF2-40B4-BE49-F238E27FC236}">
              <a16:creationId xmlns:a16="http://schemas.microsoft.com/office/drawing/2014/main" id="{89DCFC25-C744-4EB9-B960-D650FE2590E5}"/>
            </a:ext>
          </a:extLst>
        </xdr:cNvPr>
        <xdr:cNvSpPr/>
      </xdr:nvSpPr>
      <xdr:spPr>
        <a:xfrm>
          <a:off x="203200" y="2597150"/>
          <a:ext cx="1282700" cy="2794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607E80A-CD5D-4A62-8A56-E68CA00DDB8F}" type="TxLink">
            <a:rPr lang="en-US" sz="1000" b="1" i="0" u="none" strike="noStrike">
              <a:solidFill>
                <a:sysClr val="windowText" lastClr="000000"/>
              </a:solidFill>
              <a:latin typeface="Arial" panose="020B0604020202020204" pitchFamily="34" charset="0"/>
              <a:ea typeface="+mn-ea"/>
              <a:cs typeface="Arial" panose="020B0604020202020204" pitchFamily="34" charset="0"/>
            </a:rPr>
            <a:pPr marL="0" indent="0" algn="ctr"/>
            <a:t>Across 30 genres</a:t>
          </a:fld>
          <a:endParaRPr lang="en-KE" sz="10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6350</xdr:colOff>
      <xdr:row>7</xdr:row>
      <xdr:rowOff>152400</xdr:rowOff>
    </xdr:from>
    <xdr:to>
      <xdr:col>5</xdr:col>
      <xdr:colOff>260350</xdr:colOff>
      <xdr:row>8</xdr:row>
      <xdr:rowOff>179200</xdr:rowOff>
    </xdr:to>
    <xdr:sp macro="" textlink="">
      <xdr:nvSpPr>
        <xdr:cNvPr id="29" name="Rectangle: Rounded Corners 28">
          <a:extLst>
            <a:ext uri="{FF2B5EF4-FFF2-40B4-BE49-F238E27FC236}">
              <a16:creationId xmlns:a16="http://schemas.microsoft.com/office/drawing/2014/main" id="{A244E4CF-75B4-46F6-B83B-4A14571B0C2E}"/>
            </a:ext>
          </a:extLst>
        </xdr:cNvPr>
        <xdr:cNvSpPr/>
      </xdr:nvSpPr>
      <xdr:spPr>
        <a:xfrm>
          <a:off x="1835150" y="1898650"/>
          <a:ext cx="14732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latin typeface="Arial Black" panose="020B0A04020102020204" pitchFamily="34" charset="0"/>
              <a:ea typeface="+mn-ea"/>
              <a:cs typeface="+mn-cs"/>
            </a:rPr>
            <a:t>Avg</a:t>
          </a:r>
          <a:r>
            <a:rPr lang="en-US" sz="1050"/>
            <a:t> </a:t>
          </a:r>
          <a:r>
            <a:rPr lang="en-US" sz="1100" b="1">
              <a:solidFill>
                <a:schemeClr val="tx1"/>
              </a:solidFill>
              <a:latin typeface="Arial Black" panose="020B0A04020102020204" pitchFamily="34" charset="0"/>
              <a:ea typeface="+mn-ea"/>
              <a:cs typeface="+mn-cs"/>
            </a:rPr>
            <a:t>stock</a:t>
          </a:r>
          <a:r>
            <a:rPr lang="en-US" sz="1050"/>
            <a:t> </a:t>
          </a:r>
          <a:r>
            <a:rPr lang="en-US" sz="1100" b="1">
              <a:solidFill>
                <a:schemeClr val="tx1"/>
              </a:solidFill>
              <a:latin typeface="Arial Black" panose="020B0A04020102020204" pitchFamily="34" charset="0"/>
              <a:ea typeface="+mn-ea"/>
              <a:cs typeface="+mn-cs"/>
            </a:rPr>
            <a:t>count</a:t>
          </a:r>
          <a:endParaRPr lang="en-KE" sz="1050"/>
        </a:p>
      </xdr:txBody>
    </xdr:sp>
    <xdr:clientData/>
  </xdr:twoCellAnchor>
  <xdr:twoCellAnchor>
    <xdr:from>
      <xdr:col>3</xdr:col>
      <xdr:colOff>120650</xdr:colOff>
      <xdr:row>9</xdr:row>
      <xdr:rowOff>19050</xdr:rowOff>
    </xdr:from>
    <xdr:to>
      <xdr:col>5</xdr:col>
      <xdr:colOff>183050</xdr:colOff>
      <xdr:row>10</xdr:row>
      <xdr:rowOff>45850</xdr:rowOff>
    </xdr:to>
    <xdr:sp macro="" textlink="Workbook!AP5">
      <xdr:nvSpPr>
        <xdr:cNvPr id="30" name="Rectangle: Rounded Corners 29">
          <a:extLst>
            <a:ext uri="{FF2B5EF4-FFF2-40B4-BE49-F238E27FC236}">
              <a16:creationId xmlns:a16="http://schemas.microsoft.com/office/drawing/2014/main" id="{8428F0EF-181D-4320-8FFE-7C268657CE53}"/>
            </a:ext>
          </a:extLst>
        </xdr:cNvPr>
        <xdr:cNvSpPr/>
      </xdr:nvSpPr>
      <xdr:spPr>
        <a:xfrm>
          <a:off x="1949450" y="2273300"/>
          <a:ext cx="12816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E567556-EA00-4103-8537-B8C4E7ECCE5B}" type="TxLink">
            <a:rPr lang="en-US" sz="2000" b="1" i="0" u="none" strike="noStrike">
              <a:solidFill>
                <a:srgbClr val="E0615B"/>
              </a:solidFill>
              <a:latin typeface="Arial" panose="020B0604020202020204" pitchFamily="34" charset="0"/>
              <a:ea typeface="+mn-ea"/>
              <a:cs typeface="Arial" panose="020B0604020202020204" pitchFamily="34" charset="0"/>
            </a:rPr>
            <a:pPr marL="0" indent="0" algn="ctr"/>
            <a:t>10.7</a:t>
          </a:fld>
          <a:endParaRPr lang="en-KE" sz="2000" b="1" i="0" u="none" strike="noStrike">
            <a:solidFill>
              <a:srgbClr val="E0615B"/>
            </a:solidFill>
            <a:latin typeface="Arial" panose="020B0604020202020204" pitchFamily="34" charset="0"/>
            <a:ea typeface="+mn-ea"/>
            <a:cs typeface="Arial" panose="020B0604020202020204" pitchFamily="34" charset="0"/>
          </a:endParaRPr>
        </a:p>
      </xdr:txBody>
    </xdr:sp>
    <xdr:clientData/>
  </xdr:twoCellAnchor>
  <xdr:twoCellAnchor>
    <xdr:from>
      <xdr:col>3</xdr:col>
      <xdr:colOff>120650</xdr:colOff>
      <xdr:row>10</xdr:row>
      <xdr:rowOff>107950</xdr:rowOff>
    </xdr:from>
    <xdr:to>
      <xdr:col>5</xdr:col>
      <xdr:colOff>183050</xdr:colOff>
      <xdr:row>11</xdr:row>
      <xdr:rowOff>134750</xdr:rowOff>
    </xdr:to>
    <xdr:sp macro="" textlink="Workbook!AP10">
      <xdr:nvSpPr>
        <xdr:cNvPr id="31" name="Rectangle: Rounded Corners 30">
          <a:extLst>
            <a:ext uri="{FF2B5EF4-FFF2-40B4-BE49-F238E27FC236}">
              <a16:creationId xmlns:a16="http://schemas.microsoft.com/office/drawing/2014/main" id="{6FF3419D-1FEF-495F-B1F6-34A360F35220}"/>
            </a:ext>
          </a:extLst>
        </xdr:cNvPr>
        <xdr:cNvSpPr/>
      </xdr:nvSpPr>
      <xdr:spPr>
        <a:xfrm>
          <a:off x="1949450" y="2616200"/>
          <a:ext cx="12816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9B65E17-C4A7-40E5-AD37-5C382FAED0FA}" type="TxLink">
            <a:rPr lang="en-US" sz="1200" b="1" i="0" u="none" strike="noStrike">
              <a:solidFill>
                <a:sysClr val="windowText" lastClr="000000"/>
              </a:solidFill>
              <a:latin typeface="Arial" panose="020B0604020202020204" pitchFamily="34" charset="0"/>
              <a:cs typeface="Arial" panose="020B0604020202020204" pitchFamily="34" charset="0"/>
            </a:rPr>
            <a:pPr algn="ctr"/>
            <a:t>median: 10 units</a:t>
          </a:fld>
          <a:endParaRPr lang="en-KE" sz="12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50800</xdr:colOff>
      <xdr:row>7</xdr:row>
      <xdr:rowOff>139700</xdr:rowOff>
    </xdr:from>
    <xdr:to>
      <xdr:col>8</xdr:col>
      <xdr:colOff>113200</xdr:colOff>
      <xdr:row>8</xdr:row>
      <xdr:rowOff>166500</xdr:rowOff>
    </xdr:to>
    <xdr:sp macro="" textlink="">
      <xdr:nvSpPr>
        <xdr:cNvPr id="32" name="Rectangle: Rounded Corners 31">
          <a:extLst>
            <a:ext uri="{FF2B5EF4-FFF2-40B4-BE49-F238E27FC236}">
              <a16:creationId xmlns:a16="http://schemas.microsoft.com/office/drawing/2014/main" id="{9CD9F28D-5733-4E99-8FEE-EE0042F256A4}"/>
            </a:ext>
          </a:extLst>
        </xdr:cNvPr>
        <xdr:cNvSpPr/>
      </xdr:nvSpPr>
      <xdr:spPr>
        <a:xfrm>
          <a:off x="3708400" y="1885950"/>
          <a:ext cx="12816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solidFill>
              <a:latin typeface="Arial Black" panose="020B0A04020102020204" pitchFamily="34" charset="0"/>
              <a:ea typeface="+mn-ea"/>
              <a:cs typeface="+mn-cs"/>
            </a:rPr>
            <a:t>AVG</a:t>
          </a:r>
          <a:r>
            <a:rPr lang="en-US" sz="1100"/>
            <a:t> </a:t>
          </a:r>
          <a:r>
            <a:rPr lang="en-US" sz="1200" b="1">
              <a:solidFill>
                <a:schemeClr val="tx1"/>
              </a:solidFill>
              <a:latin typeface="Arial Black" panose="020B0A04020102020204" pitchFamily="34" charset="0"/>
              <a:ea typeface="+mn-ea"/>
              <a:cs typeface="+mn-cs"/>
            </a:rPr>
            <a:t>PRICE</a:t>
          </a:r>
          <a:endParaRPr lang="en-KE" sz="1200" b="1">
            <a:solidFill>
              <a:schemeClr val="tx1"/>
            </a:solidFill>
            <a:latin typeface="Arial Black" panose="020B0A04020102020204" pitchFamily="34" charset="0"/>
            <a:ea typeface="+mn-ea"/>
            <a:cs typeface="+mn-cs"/>
          </a:endParaRPr>
        </a:p>
      </xdr:txBody>
    </xdr:sp>
    <xdr:clientData/>
  </xdr:twoCellAnchor>
  <xdr:twoCellAnchor>
    <xdr:from>
      <xdr:col>6</xdr:col>
      <xdr:colOff>50800</xdr:colOff>
      <xdr:row>9</xdr:row>
      <xdr:rowOff>6350</xdr:rowOff>
    </xdr:from>
    <xdr:to>
      <xdr:col>8</xdr:col>
      <xdr:colOff>113200</xdr:colOff>
      <xdr:row>10</xdr:row>
      <xdr:rowOff>33150</xdr:rowOff>
    </xdr:to>
    <xdr:sp macro="" textlink="Workbook!AQ5">
      <xdr:nvSpPr>
        <xdr:cNvPr id="33" name="Rectangle: Rounded Corners 32">
          <a:extLst>
            <a:ext uri="{FF2B5EF4-FFF2-40B4-BE49-F238E27FC236}">
              <a16:creationId xmlns:a16="http://schemas.microsoft.com/office/drawing/2014/main" id="{8D317996-45E1-432B-A8F3-64DF8C4AAFF3}"/>
            </a:ext>
          </a:extLst>
        </xdr:cNvPr>
        <xdr:cNvSpPr/>
      </xdr:nvSpPr>
      <xdr:spPr>
        <a:xfrm>
          <a:off x="3708400" y="2260600"/>
          <a:ext cx="12816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D9D3DDD-48AE-4F27-AD6D-B59D8F059F73}" type="TxLink">
            <a:rPr lang="en-US" sz="2000" b="1" i="0" u="none" strike="noStrike">
              <a:solidFill>
                <a:srgbClr val="E0615B"/>
              </a:solidFill>
              <a:latin typeface="Arial" panose="020B0604020202020204" pitchFamily="34" charset="0"/>
              <a:ea typeface="+mn-ea"/>
              <a:cs typeface="Arial" panose="020B0604020202020204" pitchFamily="34" charset="0"/>
            </a:rPr>
            <a:pPr marL="0" indent="0" algn="ctr"/>
            <a:t>£30.50</a:t>
          </a:fld>
          <a:endParaRPr lang="en-KE" sz="2000" b="1" i="0" u="none" strike="noStrike">
            <a:solidFill>
              <a:srgbClr val="E0615B"/>
            </a:solidFill>
            <a:latin typeface="Arial" panose="020B0604020202020204" pitchFamily="34" charset="0"/>
            <a:ea typeface="+mn-ea"/>
            <a:cs typeface="Arial" panose="020B0604020202020204" pitchFamily="34" charset="0"/>
          </a:endParaRPr>
        </a:p>
      </xdr:txBody>
    </xdr:sp>
    <xdr:clientData/>
  </xdr:twoCellAnchor>
  <xdr:twoCellAnchor>
    <xdr:from>
      <xdr:col>6</xdr:col>
      <xdr:colOff>50800</xdr:colOff>
      <xdr:row>10</xdr:row>
      <xdr:rowOff>95250</xdr:rowOff>
    </xdr:from>
    <xdr:to>
      <xdr:col>8</xdr:col>
      <xdr:colOff>113200</xdr:colOff>
      <xdr:row>11</xdr:row>
      <xdr:rowOff>122050</xdr:rowOff>
    </xdr:to>
    <xdr:sp macro="" textlink="Workbook!AQ10">
      <xdr:nvSpPr>
        <xdr:cNvPr id="34" name="Rectangle: Rounded Corners 33">
          <a:extLst>
            <a:ext uri="{FF2B5EF4-FFF2-40B4-BE49-F238E27FC236}">
              <a16:creationId xmlns:a16="http://schemas.microsoft.com/office/drawing/2014/main" id="{99908D0B-3125-4618-A220-80212C815FBB}"/>
            </a:ext>
          </a:extLst>
        </xdr:cNvPr>
        <xdr:cNvSpPr/>
      </xdr:nvSpPr>
      <xdr:spPr>
        <a:xfrm>
          <a:off x="3708400" y="2603500"/>
          <a:ext cx="12816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8F44D6E-A89C-4361-A81A-AF369340D73F}" type="TxLink">
            <a:rPr lang="en-US" sz="1200" b="1" i="0" u="none" strike="noStrike">
              <a:solidFill>
                <a:sysClr val="windowText" lastClr="000000"/>
              </a:solidFill>
              <a:latin typeface="Arial" panose="020B0604020202020204" pitchFamily="34" charset="0"/>
              <a:cs typeface="Arial" panose="020B0604020202020204" pitchFamily="34" charset="0"/>
            </a:rPr>
            <a:pPr algn="ctr"/>
            <a:t>range£1 - £60</a:t>
          </a:fld>
          <a:endParaRPr lang="en-KE" sz="12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8</xdr:col>
      <xdr:colOff>546100</xdr:colOff>
      <xdr:row>7</xdr:row>
      <xdr:rowOff>139700</xdr:rowOff>
    </xdr:from>
    <xdr:to>
      <xdr:col>10</xdr:col>
      <xdr:colOff>608500</xdr:colOff>
      <xdr:row>8</xdr:row>
      <xdr:rowOff>166500</xdr:rowOff>
    </xdr:to>
    <xdr:sp macro="" textlink="">
      <xdr:nvSpPr>
        <xdr:cNvPr id="35" name="Rectangle: Rounded Corners 34">
          <a:extLst>
            <a:ext uri="{FF2B5EF4-FFF2-40B4-BE49-F238E27FC236}">
              <a16:creationId xmlns:a16="http://schemas.microsoft.com/office/drawing/2014/main" id="{5A49A700-8805-437A-B77B-E80D4705CB4A}"/>
            </a:ext>
          </a:extLst>
        </xdr:cNvPr>
        <xdr:cNvSpPr/>
      </xdr:nvSpPr>
      <xdr:spPr>
        <a:xfrm>
          <a:off x="5422900" y="1885950"/>
          <a:ext cx="12816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r>
            <a:rPr lang="en-US" sz="1100" b="1">
              <a:solidFill>
                <a:schemeClr val="tx1"/>
              </a:solidFill>
              <a:latin typeface="Arial Black" panose="020B0A04020102020204" pitchFamily="34" charset="0"/>
              <a:ea typeface="+mn-ea"/>
              <a:cs typeface="+mn-cs"/>
            </a:rPr>
            <a:t>AVG RATING</a:t>
          </a:r>
          <a:endParaRPr lang="en-KE" sz="1100" b="1">
            <a:solidFill>
              <a:schemeClr val="tx1"/>
            </a:solidFill>
            <a:latin typeface="Arial Black" panose="020B0A04020102020204" pitchFamily="34" charset="0"/>
            <a:ea typeface="+mn-ea"/>
            <a:cs typeface="+mn-cs"/>
          </a:endParaRPr>
        </a:p>
      </xdr:txBody>
    </xdr:sp>
    <xdr:clientData/>
  </xdr:twoCellAnchor>
  <xdr:twoCellAnchor>
    <xdr:from>
      <xdr:col>8</xdr:col>
      <xdr:colOff>546100</xdr:colOff>
      <xdr:row>9</xdr:row>
      <xdr:rowOff>6350</xdr:rowOff>
    </xdr:from>
    <xdr:to>
      <xdr:col>10</xdr:col>
      <xdr:colOff>608500</xdr:colOff>
      <xdr:row>10</xdr:row>
      <xdr:rowOff>33150</xdr:rowOff>
    </xdr:to>
    <xdr:sp macro="" textlink="Workbook!AR5">
      <xdr:nvSpPr>
        <xdr:cNvPr id="36" name="Rectangle: Rounded Corners 35">
          <a:extLst>
            <a:ext uri="{FF2B5EF4-FFF2-40B4-BE49-F238E27FC236}">
              <a16:creationId xmlns:a16="http://schemas.microsoft.com/office/drawing/2014/main" id="{F9B3DD3F-0E16-4E78-A8F8-AD1FE43B9C03}"/>
            </a:ext>
          </a:extLst>
        </xdr:cNvPr>
        <xdr:cNvSpPr/>
      </xdr:nvSpPr>
      <xdr:spPr>
        <a:xfrm>
          <a:off x="5422900" y="2260600"/>
          <a:ext cx="12816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992E19A1-A8C0-4A12-BA6D-86DE4473E332}" type="TxLink">
            <a:rPr lang="en-US" sz="2000" b="1" i="0" u="none" strike="noStrike">
              <a:solidFill>
                <a:srgbClr val="E0615B"/>
              </a:solidFill>
              <a:latin typeface="Arial" panose="020B0604020202020204" pitchFamily="34" charset="0"/>
              <a:ea typeface="+mn-ea"/>
              <a:cs typeface="Arial" panose="020B0604020202020204" pitchFamily="34" charset="0"/>
            </a:rPr>
            <a:pPr marL="0" indent="0" algn="ctr"/>
            <a:t>3.77</a:t>
          </a:fld>
          <a:endParaRPr lang="en-KE" sz="2000" b="1" i="0" u="none" strike="noStrike">
            <a:solidFill>
              <a:srgbClr val="E0615B"/>
            </a:solidFill>
            <a:latin typeface="Arial" panose="020B0604020202020204" pitchFamily="34" charset="0"/>
            <a:ea typeface="+mn-ea"/>
            <a:cs typeface="Arial" panose="020B0604020202020204" pitchFamily="34" charset="0"/>
          </a:endParaRPr>
        </a:p>
      </xdr:txBody>
    </xdr:sp>
    <xdr:clientData/>
  </xdr:twoCellAnchor>
  <xdr:twoCellAnchor>
    <xdr:from>
      <xdr:col>8</xdr:col>
      <xdr:colOff>546100</xdr:colOff>
      <xdr:row>10</xdr:row>
      <xdr:rowOff>95250</xdr:rowOff>
    </xdr:from>
    <xdr:to>
      <xdr:col>10</xdr:col>
      <xdr:colOff>608500</xdr:colOff>
      <xdr:row>11</xdr:row>
      <xdr:rowOff>122050</xdr:rowOff>
    </xdr:to>
    <xdr:sp macro="" textlink="Workbook!AR9">
      <xdr:nvSpPr>
        <xdr:cNvPr id="37" name="Rectangle: Rounded Corners 36">
          <a:extLst>
            <a:ext uri="{FF2B5EF4-FFF2-40B4-BE49-F238E27FC236}">
              <a16:creationId xmlns:a16="http://schemas.microsoft.com/office/drawing/2014/main" id="{23B0A862-390E-43EE-9BDB-6887502205AC}"/>
            </a:ext>
          </a:extLst>
        </xdr:cNvPr>
        <xdr:cNvSpPr/>
      </xdr:nvSpPr>
      <xdr:spPr>
        <a:xfrm>
          <a:off x="5422900" y="2603500"/>
          <a:ext cx="1281600" cy="280800"/>
        </a:xfrm>
        <a:prstGeom prst="roundRect">
          <a:avLst/>
        </a:prstGeom>
        <a:solidFill>
          <a:srgbClr val="C5C8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E282FF7-6C7F-4A71-BCF8-E6FB57F95CF0}" type="TxLink">
            <a:rPr lang="en-US" sz="1200" b="1" i="0" u="none" strike="noStrike">
              <a:solidFill>
                <a:sysClr val="windowText" lastClr="000000"/>
              </a:solidFill>
              <a:latin typeface="Arial" panose="020B0604020202020204" pitchFamily="34" charset="0"/>
              <a:cs typeface="Arial" panose="020B0604020202020204" pitchFamily="34" charset="0"/>
            </a:rPr>
            <a:pPr algn="ctr"/>
            <a:t>scale 1-5</a:t>
          </a:fld>
          <a:endParaRPr lang="en-KE" sz="12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11</xdr:col>
      <xdr:colOff>533400</xdr:colOff>
      <xdr:row>5</xdr:row>
      <xdr:rowOff>139700</xdr:rowOff>
    </xdr:from>
    <xdr:to>
      <xdr:col>17</xdr:col>
      <xdr:colOff>57150</xdr:colOff>
      <xdr:row>11</xdr:row>
      <xdr:rowOff>146050</xdr:rowOff>
    </xdr:to>
    <xdr:sp macro="" textlink="">
      <xdr:nvSpPr>
        <xdr:cNvPr id="38" name="TextBox 37">
          <a:extLst>
            <a:ext uri="{FF2B5EF4-FFF2-40B4-BE49-F238E27FC236}">
              <a16:creationId xmlns:a16="http://schemas.microsoft.com/office/drawing/2014/main" id="{F3B2B3D0-4C6E-42EA-8456-2831B43D6F1D}"/>
            </a:ext>
          </a:extLst>
        </xdr:cNvPr>
        <xdr:cNvSpPr txBox="1"/>
      </xdr:nvSpPr>
      <xdr:spPr>
        <a:xfrm>
          <a:off x="7239000" y="1377950"/>
          <a:ext cx="3181350" cy="1530350"/>
        </a:xfrm>
        <a:prstGeom prst="rect">
          <a:avLst/>
        </a:prstGeom>
        <a:gradFill>
          <a:gsLst>
            <a:gs pos="0">
              <a:srgbClr val="F5F6F8"/>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rnd"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900" b="1">
            <a:solidFill>
              <a:srgbClr val="000000"/>
            </a:solidFill>
          </a:endParaRPr>
        </a:p>
        <a:p>
          <a:endParaRPr lang="en-US" sz="900" b="1">
            <a:solidFill>
              <a:srgbClr val="000000"/>
            </a:solidFill>
          </a:endParaRPr>
        </a:p>
        <a:p>
          <a:r>
            <a:rPr lang="en-US" sz="900" b="1">
              <a:solidFill>
                <a:srgbClr val="000000"/>
              </a:solidFill>
            </a:rPr>
            <a:t>• Women's Fiction shows the largest demand gap, indicating unmet demand.</a:t>
          </a:r>
        </a:p>
        <a:p>
          <a:endParaRPr lang="en-US" sz="900" b="1">
            <a:solidFill>
              <a:srgbClr val="000000"/>
            </a:solidFill>
          </a:endParaRPr>
        </a:p>
        <a:p>
          <a:r>
            <a:rPr lang="en-US" sz="900" b="1">
              <a:solidFill>
                <a:srgbClr val="000000"/>
              </a:solidFill>
            </a:rPr>
            <a:t>• Top 7 genres account for 29% of the catalogue, suggesting a diversified catalogue strategy.</a:t>
          </a:r>
        </a:p>
        <a:p>
          <a:endParaRPr lang="en-US" sz="900" b="1">
            <a:solidFill>
              <a:srgbClr val="000000"/>
            </a:solidFill>
          </a:endParaRPr>
        </a:p>
        <a:p>
          <a:r>
            <a:rPr lang="en-US" sz="900" b="1">
              <a:solidFill>
                <a:srgbClr val="000000"/>
              </a:solidFill>
            </a:rPr>
            <a:t>• Price variation exists within genres despite similar average prices.</a:t>
          </a:r>
        </a:p>
        <a:p>
          <a:endParaRPr lang="en-KE" sz="900" b="1">
            <a:solidFill>
              <a:srgbClr val="000000"/>
            </a:solidFill>
          </a:endParaRPr>
        </a:p>
      </xdr:txBody>
    </xdr:sp>
    <xdr:clientData/>
  </xdr:twoCellAnchor>
  <xdr:twoCellAnchor>
    <xdr:from>
      <xdr:col>11</xdr:col>
      <xdr:colOff>546100</xdr:colOff>
      <xdr:row>5</xdr:row>
      <xdr:rowOff>146050</xdr:rowOff>
    </xdr:from>
    <xdr:to>
      <xdr:col>14</xdr:col>
      <xdr:colOff>69850</xdr:colOff>
      <xdr:row>6</xdr:row>
      <xdr:rowOff>127000</xdr:rowOff>
    </xdr:to>
    <xdr:sp macro="" textlink="">
      <xdr:nvSpPr>
        <xdr:cNvPr id="39" name="Rectangle: Rounded Corners 38">
          <a:extLst>
            <a:ext uri="{FF2B5EF4-FFF2-40B4-BE49-F238E27FC236}">
              <a16:creationId xmlns:a16="http://schemas.microsoft.com/office/drawing/2014/main" id="{07123AE4-E837-4478-AAE3-B606C09F58DF}"/>
            </a:ext>
          </a:extLst>
        </xdr:cNvPr>
        <xdr:cNvSpPr/>
      </xdr:nvSpPr>
      <xdr:spPr>
        <a:xfrm>
          <a:off x="7251700" y="1384300"/>
          <a:ext cx="1352550" cy="234950"/>
        </a:xfrm>
        <a:prstGeom prst="roundRect">
          <a:avLst/>
        </a:prstGeom>
        <a:solidFill>
          <a:srgbClr val="D9D9D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solidFill>
                <a:srgbClr val="FF0000"/>
              </a:solidFill>
              <a:latin typeface="Segoe UI" panose="020B0502040204020203" pitchFamily="34" charset="0"/>
              <a:ea typeface="+mn-ea"/>
              <a:cs typeface="Segoe UI" panose="020B0502040204020203" pitchFamily="34" charset="0"/>
            </a:rPr>
            <a:t>Key</a:t>
          </a:r>
          <a:r>
            <a:rPr lang="en-US" sz="1100">
              <a:solidFill>
                <a:srgbClr val="FF0000"/>
              </a:solidFill>
            </a:rPr>
            <a:t> </a:t>
          </a:r>
          <a:r>
            <a:rPr lang="en-US" sz="1200" b="1">
              <a:solidFill>
                <a:srgbClr val="FF0000"/>
              </a:solidFill>
              <a:latin typeface="Segoe UI" panose="020B0502040204020203" pitchFamily="34" charset="0"/>
              <a:ea typeface="+mn-ea"/>
              <a:cs typeface="Segoe UI" panose="020B0502040204020203" pitchFamily="34" charset="0"/>
            </a:rPr>
            <a:t>Insights</a:t>
          </a:r>
          <a:endParaRPr lang="en-KE" sz="1200" b="1">
            <a:solidFill>
              <a:srgbClr val="FF0000"/>
            </a:solidFill>
            <a:latin typeface="Segoe UI" panose="020B0502040204020203" pitchFamily="34" charset="0"/>
            <a:ea typeface="+mn-ea"/>
            <a:cs typeface="Segoe UI" panose="020B0502040204020203" pitchFamily="34" charset="0"/>
          </a:endParaRPr>
        </a:p>
      </xdr:txBody>
    </xdr:sp>
    <xdr:clientData/>
  </xdr:twoCellAnchor>
  <xdr:twoCellAnchor>
    <xdr:from>
      <xdr:col>0</xdr:col>
      <xdr:colOff>101600</xdr:colOff>
      <xdr:row>11</xdr:row>
      <xdr:rowOff>215900</xdr:rowOff>
    </xdr:from>
    <xdr:to>
      <xdr:col>8</xdr:col>
      <xdr:colOff>234950</xdr:colOff>
      <xdr:row>18</xdr:row>
      <xdr:rowOff>237900</xdr:rowOff>
    </xdr:to>
    <xdr:sp macro="" textlink="">
      <xdr:nvSpPr>
        <xdr:cNvPr id="40" name="Rectangle: Rounded Corners 39">
          <a:extLst>
            <a:ext uri="{FF2B5EF4-FFF2-40B4-BE49-F238E27FC236}">
              <a16:creationId xmlns:a16="http://schemas.microsoft.com/office/drawing/2014/main" id="{BFD22ADC-FE6A-4F9C-ADB5-6A3F83CB7B31}"/>
            </a:ext>
          </a:extLst>
        </xdr:cNvPr>
        <xdr:cNvSpPr/>
      </xdr:nvSpPr>
      <xdr:spPr>
        <a:xfrm>
          <a:off x="101600" y="2978150"/>
          <a:ext cx="5010150" cy="1800000"/>
        </a:xfrm>
        <a:prstGeom prst="roundRect">
          <a:avLst>
            <a:gd name="adj" fmla="val 6789"/>
          </a:avLst>
        </a:prstGeom>
        <a:solidFill>
          <a:srgbClr val="F3F3F3"/>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8</xdr:col>
      <xdr:colOff>311150</xdr:colOff>
      <xdr:row>11</xdr:row>
      <xdr:rowOff>171450</xdr:rowOff>
    </xdr:from>
    <xdr:to>
      <xdr:col>17</xdr:col>
      <xdr:colOff>44450</xdr:colOff>
      <xdr:row>18</xdr:row>
      <xdr:rowOff>222250</xdr:rowOff>
    </xdr:to>
    <xdr:sp macro="" textlink="">
      <xdr:nvSpPr>
        <xdr:cNvPr id="41" name="Rectangle: Rounded Corners 40">
          <a:extLst>
            <a:ext uri="{FF2B5EF4-FFF2-40B4-BE49-F238E27FC236}">
              <a16:creationId xmlns:a16="http://schemas.microsoft.com/office/drawing/2014/main" id="{AF7EED29-6786-4FA1-94FE-4D8A281D9247}"/>
            </a:ext>
          </a:extLst>
        </xdr:cNvPr>
        <xdr:cNvSpPr/>
      </xdr:nvSpPr>
      <xdr:spPr>
        <a:xfrm>
          <a:off x="5187950" y="2933700"/>
          <a:ext cx="5219700" cy="1828800"/>
        </a:xfrm>
        <a:prstGeom prst="roundRect">
          <a:avLst>
            <a:gd name="adj" fmla="val 4673"/>
          </a:avLst>
        </a:prstGeom>
        <a:solidFill>
          <a:srgbClr val="F3F3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KE" sz="1100">
            <a:solidFill>
              <a:schemeClr val="lt1"/>
            </a:solidFill>
            <a:latin typeface="+mn-lt"/>
            <a:ea typeface="+mn-ea"/>
            <a:cs typeface="+mn-cs"/>
          </a:endParaRPr>
        </a:p>
      </xdr:txBody>
    </xdr:sp>
    <xdr:clientData/>
  </xdr:twoCellAnchor>
  <xdr:twoCellAnchor>
    <xdr:from>
      <xdr:col>0</xdr:col>
      <xdr:colOff>63500</xdr:colOff>
      <xdr:row>19</xdr:row>
      <xdr:rowOff>12700</xdr:rowOff>
    </xdr:from>
    <xdr:to>
      <xdr:col>5</xdr:col>
      <xdr:colOff>488950</xdr:colOff>
      <xdr:row>26</xdr:row>
      <xdr:rowOff>34700</xdr:rowOff>
    </xdr:to>
    <xdr:sp macro="" textlink="">
      <xdr:nvSpPr>
        <xdr:cNvPr id="44" name="Rectangle: Rounded Corners 43">
          <a:extLst>
            <a:ext uri="{FF2B5EF4-FFF2-40B4-BE49-F238E27FC236}">
              <a16:creationId xmlns:a16="http://schemas.microsoft.com/office/drawing/2014/main" id="{1564E529-DF9D-482F-A586-36FA90645229}"/>
            </a:ext>
          </a:extLst>
        </xdr:cNvPr>
        <xdr:cNvSpPr/>
      </xdr:nvSpPr>
      <xdr:spPr>
        <a:xfrm>
          <a:off x="63500" y="4806950"/>
          <a:ext cx="3473450" cy="1800000"/>
        </a:xfrm>
        <a:prstGeom prst="roundRect">
          <a:avLst>
            <a:gd name="adj" fmla="val 6789"/>
          </a:avLst>
        </a:prstGeom>
        <a:solidFill>
          <a:srgbClr val="F3F3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KE" sz="1100">
            <a:solidFill>
              <a:schemeClr val="lt1"/>
            </a:solidFill>
            <a:latin typeface="+mn-lt"/>
            <a:ea typeface="+mn-ea"/>
            <a:cs typeface="+mn-cs"/>
          </a:endParaRPr>
        </a:p>
      </xdr:txBody>
    </xdr:sp>
    <xdr:clientData/>
  </xdr:twoCellAnchor>
  <xdr:twoCellAnchor>
    <xdr:from>
      <xdr:col>6</xdr:col>
      <xdr:colOff>25400</xdr:colOff>
      <xdr:row>19</xdr:row>
      <xdr:rowOff>6350</xdr:rowOff>
    </xdr:from>
    <xdr:to>
      <xdr:col>17</xdr:col>
      <xdr:colOff>44750</xdr:colOff>
      <xdr:row>26</xdr:row>
      <xdr:rowOff>31750</xdr:rowOff>
    </xdr:to>
    <xdr:sp macro="" textlink="">
      <xdr:nvSpPr>
        <xdr:cNvPr id="45" name="Rectangle: Rounded Corners 44">
          <a:extLst>
            <a:ext uri="{FF2B5EF4-FFF2-40B4-BE49-F238E27FC236}">
              <a16:creationId xmlns:a16="http://schemas.microsoft.com/office/drawing/2014/main" id="{A9797D71-4E53-4EE4-A82C-003708E50A43}"/>
            </a:ext>
          </a:extLst>
        </xdr:cNvPr>
        <xdr:cNvSpPr/>
      </xdr:nvSpPr>
      <xdr:spPr>
        <a:xfrm>
          <a:off x="3683000" y="4800600"/>
          <a:ext cx="6724950" cy="1803400"/>
        </a:xfrm>
        <a:prstGeom prst="roundRect">
          <a:avLst>
            <a:gd name="adj" fmla="val 6436"/>
          </a:avLst>
        </a:prstGeom>
        <a:solidFill>
          <a:srgbClr val="F3F3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KE" sz="1100">
            <a:solidFill>
              <a:schemeClr val="lt1"/>
            </a:solidFill>
            <a:latin typeface="+mn-lt"/>
            <a:ea typeface="+mn-ea"/>
            <a:cs typeface="+mn-cs"/>
          </a:endParaRPr>
        </a:p>
      </xdr:txBody>
    </xdr:sp>
    <xdr:clientData/>
  </xdr:twoCellAnchor>
  <xdr:twoCellAnchor>
    <xdr:from>
      <xdr:col>0</xdr:col>
      <xdr:colOff>101600</xdr:colOff>
      <xdr:row>11</xdr:row>
      <xdr:rowOff>215900</xdr:rowOff>
    </xdr:from>
    <xdr:to>
      <xdr:col>8</xdr:col>
      <xdr:colOff>330200</xdr:colOff>
      <xdr:row>18</xdr:row>
      <xdr:rowOff>222250</xdr:rowOff>
    </xdr:to>
    <xdr:graphicFrame macro="">
      <xdr:nvGraphicFramePr>
        <xdr:cNvPr id="43" name="Chart 42">
          <a:extLst>
            <a:ext uri="{FF2B5EF4-FFF2-40B4-BE49-F238E27FC236}">
              <a16:creationId xmlns:a16="http://schemas.microsoft.com/office/drawing/2014/main" id="{699553FE-36E2-46AE-B080-7E009EB40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203200</xdr:colOff>
      <xdr:row>12</xdr:row>
      <xdr:rowOff>203200</xdr:rowOff>
    </xdr:from>
    <xdr:to>
      <xdr:col>7</xdr:col>
      <xdr:colOff>590550</xdr:colOff>
      <xdr:row>16</xdr:row>
      <xdr:rowOff>152400</xdr:rowOff>
    </xdr:to>
    <xdr:sp macro="" textlink="">
      <xdr:nvSpPr>
        <xdr:cNvPr id="10" name="Oval 9">
          <a:extLst>
            <a:ext uri="{FF2B5EF4-FFF2-40B4-BE49-F238E27FC236}">
              <a16:creationId xmlns:a16="http://schemas.microsoft.com/office/drawing/2014/main" id="{246B3A07-D89D-4414-8C9F-B3B6B56F45F1}"/>
            </a:ext>
          </a:extLst>
        </xdr:cNvPr>
        <xdr:cNvSpPr/>
      </xdr:nvSpPr>
      <xdr:spPr>
        <a:xfrm>
          <a:off x="3860800" y="3219450"/>
          <a:ext cx="996950" cy="965200"/>
        </a:xfrm>
        <a:prstGeom prst="ellipse">
          <a:avLst/>
        </a:prstGeom>
        <a:solidFill>
          <a:srgbClr val="F3F3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KE" sz="1100">
            <a:solidFill>
              <a:schemeClr val="lt1"/>
            </a:solidFill>
            <a:latin typeface="+mn-lt"/>
            <a:ea typeface="+mn-ea"/>
            <a:cs typeface="+mn-cs"/>
          </a:endParaRPr>
        </a:p>
      </xdr:txBody>
    </xdr:sp>
    <xdr:clientData/>
  </xdr:twoCellAnchor>
  <xdr:twoCellAnchor>
    <xdr:from>
      <xdr:col>6</xdr:col>
      <xdr:colOff>234951</xdr:colOff>
      <xdr:row>11</xdr:row>
      <xdr:rowOff>184151</xdr:rowOff>
    </xdr:from>
    <xdr:to>
      <xdr:col>8</xdr:col>
      <xdr:colOff>342901</xdr:colOff>
      <xdr:row>17</xdr:row>
      <xdr:rowOff>95251</xdr:rowOff>
    </xdr:to>
    <xdr:graphicFrame macro="">
      <xdr:nvGraphicFramePr>
        <xdr:cNvPr id="48" name="Chart 47">
          <a:extLst>
            <a:ext uri="{FF2B5EF4-FFF2-40B4-BE49-F238E27FC236}">
              <a16:creationId xmlns:a16="http://schemas.microsoft.com/office/drawing/2014/main" id="{86ABA614-3BDF-47CA-B062-040F74BD3D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107950</xdr:colOff>
      <xdr:row>11</xdr:row>
      <xdr:rowOff>228600</xdr:rowOff>
    </xdr:from>
    <xdr:to>
      <xdr:col>3</xdr:col>
      <xdr:colOff>393700</xdr:colOff>
      <xdr:row>12</xdr:row>
      <xdr:rowOff>152400</xdr:rowOff>
    </xdr:to>
    <xdr:sp macro="" textlink="">
      <xdr:nvSpPr>
        <xdr:cNvPr id="4" name="Rectangle: Rounded Corners 3">
          <a:extLst>
            <a:ext uri="{FF2B5EF4-FFF2-40B4-BE49-F238E27FC236}">
              <a16:creationId xmlns:a16="http://schemas.microsoft.com/office/drawing/2014/main" id="{D94CA7E1-5476-4C71-A7F0-F1C1F26FAA4C}"/>
            </a:ext>
          </a:extLst>
        </xdr:cNvPr>
        <xdr:cNvSpPr/>
      </xdr:nvSpPr>
      <xdr:spPr>
        <a:xfrm>
          <a:off x="107950" y="2990850"/>
          <a:ext cx="2114550" cy="177800"/>
        </a:xfrm>
        <a:prstGeom prst="roundRect">
          <a:avLst>
            <a:gd name="adj" fmla="val 41667"/>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1">
              <a:solidFill>
                <a:srgbClr val="E0615B"/>
              </a:solidFill>
              <a:latin typeface="+mn-lt"/>
              <a:ea typeface="+mn-ea"/>
              <a:cs typeface="+mn-cs"/>
            </a:rPr>
            <a:t>Catalogue Distributin by Gender</a:t>
          </a:r>
          <a:endParaRPr lang="en-KE" sz="1100" b="1">
            <a:solidFill>
              <a:srgbClr val="E0615B"/>
            </a:solidFill>
            <a:latin typeface="+mn-lt"/>
            <a:ea typeface="+mn-ea"/>
            <a:cs typeface="+mn-cs"/>
          </a:endParaRPr>
        </a:p>
      </xdr:txBody>
    </xdr:sp>
    <xdr:clientData/>
  </xdr:twoCellAnchor>
  <xdr:twoCellAnchor>
    <xdr:from>
      <xdr:col>7</xdr:col>
      <xdr:colOff>463550</xdr:colOff>
      <xdr:row>15</xdr:row>
      <xdr:rowOff>177800</xdr:rowOff>
    </xdr:from>
    <xdr:to>
      <xdr:col>8</xdr:col>
      <xdr:colOff>342900</xdr:colOff>
      <xdr:row>17</xdr:row>
      <xdr:rowOff>19050</xdr:rowOff>
    </xdr:to>
    <xdr:sp macro="" textlink="Workbook!C17">
      <xdr:nvSpPr>
        <xdr:cNvPr id="14" name="Rectangle: Rounded Corners 13">
          <a:extLst>
            <a:ext uri="{FF2B5EF4-FFF2-40B4-BE49-F238E27FC236}">
              <a16:creationId xmlns:a16="http://schemas.microsoft.com/office/drawing/2014/main" id="{1CF5ADB4-E280-4DA1-806C-C5950360F341}"/>
            </a:ext>
          </a:extLst>
        </xdr:cNvPr>
        <xdr:cNvSpPr/>
      </xdr:nvSpPr>
      <xdr:spPr>
        <a:xfrm>
          <a:off x="4730750" y="3956050"/>
          <a:ext cx="488950" cy="349250"/>
        </a:xfrm>
        <a:prstGeom prst="roundRect">
          <a:avLst>
            <a:gd name="adj" fmla="val 45614"/>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01D60457-3C38-4CA5-AC3C-8B990DF364E2}" type="TxLink">
            <a:rPr lang="en-US" sz="900" b="1" i="0" u="none" strike="noStrike">
              <a:solidFill>
                <a:srgbClr val="00B050"/>
              </a:solidFill>
              <a:latin typeface="Calibri"/>
              <a:ea typeface="+mn-ea"/>
              <a:cs typeface="Calibri"/>
            </a:rPr>
            <a:t>71%</a:t>
          </a:fld>
          <a:endParaRPr lang="en-KE" sz="900" b="1">
            <a:solidFill>
              <a:srgbClr val="00B050"/>
            </a:solidFill>
            <a:latin typeface="+mn-lt"/>
            <a:ea typeface="+mn-ea"/>
            <a:cs typeface="+mn-cs"/>
          </a:endParaRPr>
        </a:p>
      </xdr:txBody>
    </xdr:sp>
    <xdr:clientData/>
  </xdr:twoCellAnchor>
  <xdr:twoCellAnchor>
    <xdr:from>
      <xdr:col>7</xdr:col>
      <xdr:colOff>336550</xdr:colOff>
      <xdr:row>11</xdr:row>
      <xdr:rowOff>222250</xdr:rowOff>
    </xdr:from>
    <xdr:to>
      <xdr:col>8</xdr:col>
      <xdr:colOff>215900</xdr:colOff>
      <xdr:row>12</xdr:row>
      <xdr:rowOff>209550</xdr:rowOff>
    </xdr:to>
    <xdr:sp macro="" textlink="Workbook!C16">
      <xdr:nvSpPr>
        <xdr:cNvPr id="42" name="Rectangle: Rounded Corners 41">
          <a:extLst>
            <a:ext uri="{FF2B5EF4-FFF2-40B4-BE49-F238E27FC236}">
              <a16:creationId xmlns:a16="http://schemas.microsoft.com/office/drawing/2014/main" id="{2650DEC8-1626-4C95-88DF-AC8EFCDB60EC}"/>
            </a:ext>
          </a:extLst>
        </xdr:cNvPr>
        <xdr:cNvSpPr/>
      </xdr:nvSpPr>
      <xdr:spPr>
        <a:xfrm>
          <a:off x="4603750" y="2984500"/>
          <a:ext cx="488950" cy="241300"/>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CCABB80-4681-4C53-A6B5-86F7A3170498}" type="TxLink">
            <a:rPr lang="en-US" sz="900" b="1" i="0" u="none" strike="noStrike">
              <a:solidFill>
                <a:srgbClr val="18384A"/>
              </a:solidFill>
              <a:latin typeface="Calibri"/>
              <a:ea typeface="+mn-ea"/>
              <a:cs typeface="Calibri"/>
            </a:rPr>
            <a:pPr marL="0" indent="0" algn="ctr"/>
            <a:t>29%</a:t>
          </a:fld>
          <a:endParaRPr lang="en-KE" sz="900" b="1">
            <a:solidFill>
              <a:srgbClr val="18384A"/>
            </a:solidFill>
            <a:latin typeface="+mn-lt"/>
            <a:ea typeface="+mn-ea"/>
            <a:cs typeface="+mn-cs"/>
          </a:endParaRPr>
        </a:p>
      </xdr:txBody>
    </xdr:sp>
    <xdr:clientData/>
  </xdr:twoCellAnchor>
  <xdr:twoCellAnchor>
    <xdr:from>
      <xdr:col>7</xdr:col>
      <xdr:colOff>412750</xdr:colOff>
      <xdr:row>12</xdr:row>
      <xdr:rowOff>209550</xdr:rowOff>
    </xdr:from>
    <xdr:to>
      <xdr:col>7</xdr:col>
      <xdr:colOff>581025</xdr:colOff>
      <xdr:row>13</xdr:row>
      <xdr:rowOff>95252</xdr:rowOff>
    </xdr:to>
    <xdr:cxnSp macro="">
      <xdr:nvCxnSpPr>
        <xdr:cNvPr id="16" name="Straight Connector 15">
          <a:extLst>
            <a:ext uri="{FF2B5EF4-FFF2-40B4-BE49-F238E27FC236}">
              <a16:creationId xmlns:a16="http://schemas.microsoft.com/office/drawing/2014/main" id="{72676299-9698-4778-98A5-48FF95487ED5}"/>
            </a:ext>
          </a:extLst>
        </xdr:cNvPr>
        <xdr:cNvCxnSpPr>
          <a:endCxn id="42" idx="2"/>
        </xdr:cNvCxnSpPr>
      </xdr:nvCxnSpPr>
      <xdr:spPr>
        <a:xfrm flipV="1">
          <a:off x="4679950" y="3225800"/>
          <a:ext cx="168275" cy="139702"/>
        </a:xfrm>
        <a:prstGeom prst="line">
          <a:avLst/>
        </a:prstGeom>
        <a:ln w="3175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400050</xdr:colOff>
      <xdr:row>15</xdr:row>
      <xdr:rowOff>101600</xdr:rowOff>
    </xdr:from>
    <xdr:to>
      <xdr:col>7</xdr:col>
      <xdr:colOff>552450</xdr:colOff>
      <xdr:row>16</xdr:row>
      <xdr:rowOff>82550</xdr:rowOff>
    </xdr:to>
    <xdr:cxnSp macro="">
      <xdr:nvCxnSpPr>
        <xdr:cNvPr id="18" name="Straight Connector 17">
          <a:extLst>
            <a:ext uri="{FF2B5EF4-FFF2-40B4-BE49-F238E27FC236}">
              <a16:creationId xmlns:a16="http://schemas.microsoft.com/office/drawing/2014/main" id="{71700207-45CB-45BB-9B74-65AE373995D9}"/>
            </a:ext>
          </a:extLst>
        </xdr:cNvPr>
        <xdr:cNvCxnSpPr/>
      </xdr:nvCxnSpPr>
      <xdr:spPr>
        <a:xfrm flipH="1" flipV="1">
          <a:off x="4057650" y="3879850"/>
          <a:ext cx="762000" cy="234950"/>
        </a:xfrm>
        <a:prstGeom prst="line">
          <a:avLst/>
        </a:prstGeom>
        <a:ln w="28575">
          <a:solidFill>
            <a:srgbClr val="C5C8D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298450</xdr:colOff>
      <xdr:row>11</xdr:row>
      <xdr:rowOff>228600</xdr:rowOff>
    </xdr:from>
    <xdr:to>
      <xdr:col>7</xdr:col>
      <xdr:colOff>133350</xdr:colOff>
      <xdr:row>12</xdr:row>
      <xdr:rowOff>177800</xdr:rowOff>
    </xdr:to>
    <xdr:sp macro="" textlink="Workbook!A20">
      <xdr:nvSpPr>
        <xdr:cNvPr id="21" name="Rectangle: Rounded Corners 20">
          <a:extLst>
            <a:ext uri="{FF2B5EF4-FFF2-40B4-BE49-F238E27FC236}">
              <a16:creationId xmlns:a16="http://schemas.microsoft.com/office/drawing/2014/main" id="{E49F05BB-FEA8-47B9-B339-09F9645B6E43}"/>
            </a:ext>
          </a:extLst>
        </xdr:cNvPr>
        <xdr:cNvSpPr/>
      </xdr:nvSpPr>
      <xdr:spPr>
        <a:xfrm>
          <a:off x="2127250" y="2990850"/>
          <a:ext cx="2273300" cy="203200"/>
        </a:xfrm>
        <a:prstGeom prst="roundRect">
          <a:avLst>
            <a:gd name="adj" fmla="val 27778"/>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CDB25988-59DB-4FEE-AD73-715E21D3FD8A}" type="TxLink">
            <a:rPr lang="en-US" sz="1100" b="0" i="0" u="none" strike="noStrike">
              <a:solidFill>
                <a:srgbClr val="000000"/>
              </a:solidFill>
              <a:latin typeface="Calibri"/>
              <a:ea typeface="+mn-ea"/>
              <a:cs typeface="Calibri"/>
            </a:rPr>
            <a:pPr marL="0" indent="0" algn="l"/>
            <a:t>Top 7 genres have 29% of the Books</a:t>
          </a:fld>
          <a:endParaRPr lang="en-KE" sz="1100">
            <a:solidFill>
              <a:schemeClr val="lt1"/>
            </a:solidFill>
            <a:latin typeface="+mn-lt"/>
            <a:ea typeface="+mn-ea"/>
            <a:cs typeface="+mn-cs"/>
          </a:endParaRPr>
        </a:p>
      </xdr:txBody>
    </xdr:sp>
    <xdr:clientData/>
  </xdr:twoCellAnchor>
  <xdr:twoCellAnchor>
    <xdr:from>
      <xdr:col>8</xdr:col>
      <xdr:colOff>330200</xdr:colOff>
      <xdr:row>11</xdr:row>
      <xdr:rowOff>241300</xdr:rowOff>
    </xdr:from>
    <xdr:to>
      <xdr:col>17</xdr:col>
      <xdr:colOff>25400</xdr:colOff>
      <xdr:row>19</xdr:row>
      <xdr:rowOff>25400</xdr:rowOff>
    </xdr:to>
    <xdr:graphicFrame macro="">
      <xdr:nvGraphicFramePr>
        <xdr:cNvPr id="53" name="Chart 52">
          <a:extLst>
            <a:ext uri="{FF2B5EF4-FFF2-40B4-BE49-F238E27FC236}">
              <a16:creationId xmlns:a16="http://schemas.microsoft.com/office/drawing/2014/main" id="{31434274-35D7-4C7D-8AB4-D237A460C5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330200</xdr:colOff>
      <xdr:row>11</xdr:row>
      <xdr:rowOff>184150</xdr:rowOff>
    </xdr:from>
    <xdr:to>
      <xdr:col>10</xdr:col>
      <xdr:colOff>279400</xdr:colOff>
      <xdr:row>12</xdr:row>
      <xdr:rowOff>133350</xdr:rowOff>
    </xdr:to>
    <xdr:sp macro="" textlink="">
      <xdr:nvSpPr>
        <xdr:cNvPr id="54" name="Rectangle: Rounded Corners 53">
          <a:extLst>
            <a:ext uri="{FF2B5EF4-FFF2-40B4-BE49-F238E27FC236}">
              <a16:creationId xmlns:a16="http://schemas.microsoft.com/office/drawing/2014/main" id="{6A27705A-A92C-492D-9667-5A2D347C4A46}"/>
            </a:ext>
          </a:extLst>
        </xdr:cNvPr>
        <xdr:cNvSpPr/>
      </xdr:nvSpPr>
      <xdr:spPr>
        <a:xfrm>
          <a:off x="5207000" y="2946400"/>
          <a:ext cx="1168400" cy="203200"/>
        </a:xfrm>
        <a:prstGeom prst="roundRect">
          <a:avLst>
            <a:gd name="adj" fmla="val 41667"/>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1">
              <a:solidFill>
                <a:srgbClr val="E0615B"/>
              </a:solidFill>
              <a:latin typeface="+mn-lt"/>
              <a:ea typeface="+mn-ea"/>
              <a:cs typeface="+mn-cs"/>
            </a:rPr>
            <a:t>Pricing Pattern</a:t>
          </a:r>
          <a:endParaRPr lang="en-KE" sz="1100" b="1">
            <a:solidFill>
              <a:srgbClr val="E0615B"/>
            </a:solidFill>
            <a:latin typeface="+mn-lt"/>
            <a:ea typeface="+mn-ea"/>
            <a:cs typeface="+mn-cs"/>
          </a:endParaRPr>
        </a:p>
      </xdr:txBody>
    </xdr:sp>
    <xdr:clientData/>
  </xdr:twoCellAnchor>
  <xdr:twoCellAnchor>
    <xdr:from>
      <xdr:col>10</xdr:col>
      <xdr:colOff>101600</xdr:colOff>
      <xdr:row>11</xdr:row>
      <xdr:rowOff>196850</xdr:rowOff>
    </xdr:from>
    <xdr:to>
      <xdr:col>17</xdr:col>
      <xdr:colOff>19050</xdr:colOff>
      <xdr:row>12</xdr:row>
      <xdr:rowOff>184150</xdr:rowOff>
    </xdr:to>
    <xdr:sp macro="" textlink="">
      <xdr:nvSpPr>
        <xdr:cNvPr id="57" name="Rectangle: Rounded Corners 56">
          <a:extLst>
            <a:ext uri="{FF2B5EF4-FFF2-40B4-BE49-F238E27FC236}">
              <a16:creationId xmlns:a16="http://schemas.microsoft.com/office/drawing/2014/main" id="{333E7188-BD8B-4AEC-8994-08CC312D3411}"/>
            </a:ext>
          </a:extLst>
        </xdr:cNvPr>
        <xdr:cNvSpPr/>
      </xdr:nvSpPr>
      <xdr:spPr>
        <a:xfrm>
          <a:off x="6197600" y="2959100"/>
          <a:ext cx="4184650" cy="241300"/>
        </a:xfrm>
        <a:prstGeom prst="roundRect">
          <a:avLst>
            <a:gd name="adj" fmla="val 27778"/>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0" i="0" u="none" strike="noStrike">
              <a:solidFill>
                <a:srgbClr val="000000"/>
              </a:solidFill>
              <a:latin typeface="+mn-lt"/>
              <a:ea typeface="+mn-ea"/>
              <a:cs typeface="Calibri"/>
            </a:rPr>
            <a:t>Average</a:t>
          </a:r>
          <a:r>
            <a:rPr lang="en-US" sz="1100" b="0" i="0" u="none" strike="noStrike" baseline="0">
              <a:solidFill>
                <a:srgbClr val="000000"/>
              </a:solidFill>
              <a:latin typeface="+mn-lt"/>
              <a:ea typeface="+mn-ea"/>
              <a:cs typeface="Calibri"/>
            </a:rPr>
            <a:t> </a:t>
          </a:r>
          <a:r>
            <a:rPr lang="en-US" sz="1100" b="0" i="0" u="none" strike="noStrike">
              <a:solidFill>
                <a:srgbClr val="000000"/>
              </a:solidFill>
              <a:latin typeface="+mn-lt"/>
              <a:ea typeface="+mn-ea"/>
              <a:cs typeface="Calibri"/>
            </a:rPr>
            <a:t>book prices are relatively consistent across genres </a:t>
          </a:r>
        </a:p>
      </xdr:txBody>
    </xdr:sp>
    <xdr:clientData/>
  </xdr:twoCellAnchor>
  <xdr:twoCellAnchor>
    <xdr:from>
      <xdr:col>14</xdr:col>
      <xdr:colOff>273050</xdr:colOff>
      <xdr:row>12</xdr:row>
      <xdr:rowOff>152400</xdr:rowOff>
    </xdr:from>
    <xdr:to>
      <xdr:col>17</xdr:col>
      <xdr:colOff>19050</xdr:colOff>
      <xdr:row>16</xdr:row>
      <xdr:rowOff>44450</xdr:rowOff>
    </xdr:to>
    <xdr:sp macro="" textlink="Workbook!V25">
      <xdr:nvSpPr>
        <xdr:cNvPr id="58" name="Rectangle: Rounded Corners 57">
          <a:extLst>
            <a:ext uri="{FF2B5EF4-FFF2-40B4-BE49-F238E27FC236}">
              <a16:creationId xmlns:a16="http://schemas.microsoft.com/office/drawing/2014/main" id="{B36ECF66-EE3A-4D23-96EE-53E0F22597C7}"/>
            </a:ext>
          </a:extLst>
        </xdr:cNvPr>
        <xdr:cNvSpPr/>
      </xdr:nvSpPr>
      <xdr:spPr>
        <a:xfrm>
          <a:off x="8807450" y="3168650"/>
          <a:ext cx="1574800" cy="9080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312C782F-A193-4C8E-A411-C3923DA7A854}" type="TxLink">
            <a:rPr lang="en-US" sz="1200" b="1" i="0" u="none" strike="noStrike">
              <a:solidFill>
                <a:srgbClr val="18384A"/>
              </a:solidFill>
              <a:latin typeface="Calibri"/>
              <a:ea typeface="+mn-ea"/>
              <a:cs typeface="Calibri"/>
            </a:rPr>
            <a:t>Music Has the widest Price Range of 58.54.</a:t>
          </a:fld>
          <a:endParaRPr lang="en-KE" sz="1200" b="1">
            <a:solidFill>
              <a:srgbClr val="18384A"/>
            </a:solidFill>
            <a:latin typeface="+mn-lt"/>
            <a:ea typeface="+mn-ea"/>
            <a:cs typeface="+mn-cs"/>
          </a:endParaRPr>
        </a:p>
      </xdr:txBody>
    </xdr:sp>
    <xdr:clientData/>
  </xdr:twoCellAnchor>
  <xdr:twoCellAnchor>
    <xdr:from>
      <xdr:col>14</xdr:col>
      <xdr:colOff>292100</xdr:colOff>
      <xdr:row>15</xdr:row>
      <xdr:rowOff>38100</xdr:rowOff>
    </xdr:from>
    <xdr:to>
      <xdr:col>17</xdr:col>
      <xdr:colOff>63500</xdr:colOff>
      <xdr:row>18</xdr:row>
      <xdr:rowOff>234950</xdr:rowOff>
    </xdr:to>
    <xdr:sp macro="" textlink="Workbook!V30">
      <xdr:nvSpPr>
        <xdr:cNvPr id="59" name="Rectangle: Rounded Corners 58">
          <a:extLst>
            <a:ext uri="{FF2B5EF4-FFF2-40B4-BE49-F238E27FC236}">
              <a16:creationId xmlns:a16="http://schemas.microsoft.com/office/drawing/2014/main" id="{BA428834-85A0-440A-B82B-D094D5942082}"/>
            </a:ext>
          </a:extLst>
        </xdr:cNvPr>
        <xdr:cNvSpPr/>
      </xdr:nvSpPr>
      <xdr:spPr>
        <a:xfrm>
          <a:off x="8826500" y="3816350"/>
          <a:ext cx="1600200" cy="9588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921C53D1-249F-450F-B2FB-09092D0FC325}" type="TxLink">
            <a:rPr lang="en-US" sz="1200" b="1" i="0" u="none" strike="noStrike">
              <a:solidFill>
                <a:srgbClr val="18384A"/>
              </a:solidFill>
              <a:latin typeface="Calibri"/>
              <a:ea typeface="+mn-ea"/>
              <a:cs typeface="Calibri"/>
            </a:rPr>
            <a:pPr marL="0" indent="0" algn="l"/>
            <a:t>Young Adult Has the Narrowest Price Range of 46.66.</a:t>
          </a:fld>
          <a:endParaRPr lang="en-KE" sz="1200" b="1" i="0" u="none" strike="noStrike">
            <a:solidFill>
              <a:srgbClr val="18384A"/>
            </a:solidFill>
            <a:latin typeface="Calibri"/>
            <a:ea typeface="+mn-ea"/>
            <a:cs typeface="Calibri"/>
          </a:endParaRPr>
        </a:p>
      </xdr:txBody>
    </xdr:sp>
    <xdr:clientData/>
  </xdr:twoCellAnchor>
  <xdr:twoCellAnchor editAs="oneCell">
    <xdr:from>
      <xdr:col>14</xdr:col>
      <xdr:colOff>120651</xdr:colOff>
      <xdr:row>15</xdr:row>
      <xdr:rowOff>120651</xdr:rowOff>
    </xdr:from>
    <xdr:to>
      <xdr:col>14</xdr:col>
      <xdr:colOff>412750</xdr:colOff>
      <xdr:row>16</xdr:row>
      <xdr:rowOff>158750</xdr:rowOff>
    </xdr:to>
    <xdr:pic>
      <xdr:nvPicPr>
        <xdr:cNvPr id="65" name="Picture 64">
          <a:extLst>
            <a:ext uri="{FF2B5EF4-FFF2-40B4-BE49-F238E27FC236}">
              <a16:creationId xmlns:a16="http://schemas.microsoft.com/office/drawing/2014/main" id="{692CA40E-1FFF-4EBF-8272-B8B0532F760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655051" y="3898901"/>
          <a:ext cx="292099" cy="292099"/>
        </a:xfrm>
        <a:prstGeom prst="rect">
          <a:avLst/>
        </a:prstGeom>
      </xdr:spPr>
    </xdr:pic>
    <xdr:clientData/>
  </xdr:twoCellAnchor>
  <xdr:twoCellAnchor editAs="oneCell">
    <xdr:from>
      <xdr:col>14</xdr:col>
      <xdr:colOff>101601</xdr:colOff>
      <xdr:row>12</xdr:row>
      <xdr:rowOff>241301</xdr:rowOff>
    </xdr:from>
    <xdr:to>
      <xdr:col>14</xdr:col>
      <xdr:colOff>393700</xdr:colOff>
      <xdr:row>14</xdr:row>
      <xdr:rowOff>25400</xdr:rowOff>
    </xdr:to>
    <xdr:pic>
      <xdr:nvPicPr>
        <xdr:cNvPr id="66" name="Picture 65">
          <a:extLst>
            <a:ext uri="{FF2B5EF4-FFF2-40B4-BE49-F238E27FC236}">
              <a16:creationId xmlns:a16="http://schemas.microsoft.com/office/drawing/2014/main" id="{BFD8F348-B764-470D-B86F-AAD50E7C15A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636001" y="3257551"/>
          <a:ext cx="292099" cy="292099"/>
        </a:xfrm>
        <a:prstGeom prst="rect">
          <a:avLst/>
        </a:prstGeom>
      </xdr:spPr>
    </xdr:pic>
    <xdr:clientData/>
  </xdr:twoCellAnchor>
  <xdr:twoCellAnchor>
    <xdr:from>
      <xdr:col>0</xdr:col>
      <xdr:colOff>63501</xdr:colOff>
      <xdr:row>19</xdr:row>
      <xdr:rowOff>190500</xdr:rowOff>
    </xdr:from>
    <xdr:to>
      <xdr:col>5</xdr:col>
      <xdr:colOff>209551</xdr:colOff>
      <xdr:row>26</xdr:row>
      <xdr:rowOff>25400</xdr:rowOff>
    </xdr:to>
    <xdr:graphicFrame macro="">
      <xdr:nvGraphicFramePr>
        <xdr:cNvPr id="67" name="Chart 66">
          <a:extLst>
            <a:ext uri="{FF2B5EF4-FFF2-40B4-BE49-F238E27FC236}">
              <a16:creationId xmlns:a16="http://schemas.microsoft.com/office/drawing/2014/main" id="{2D4584B1-BD6C-4D11-8487-FE82637FDE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95250</xdr:colOff>
      <xdr:row>19</xdr:row>
      <xdr:rowOff>25400</xdr:rowOff>
    </xdr:from>
    <xdr:to>
      <xdr:col>3</xdr:col>
      <xdr:colOff>381000</xdr:colOff>
      <xdr:row>19</xdr:row>
      <xdr:rowOff>203200</xdr:rowOff>
    </xdr:to>
    <xdr:sp macro="" textlink="">
      <xdr:nvSpPr>
        <xdr:cNvPr id="69" name="Rectangle: Rounded Corners 68">
          <a:extLst>
            <a:ext uri="{FF2B5EF4-FFF2-40B4-BE49-F238E27FC236}">
              <a16:creationId xmlns:a16="http://schemas.microsoft.com/office/drawing/2014/main" id="{E648338A-8D5C-4CE4-B179-79793393079F}"/>
            </a:ext>
          </a:extLst>
        </xdr:cNvPr>
        <xdr:cNvSpPr/>
      </xdr:nvSpPr>
      <xdr:spPr>
        <a:xfrm>
          <a:off x="95250" y="4819650"/>
          <a:ext cx="2114550" cy="177800"/>
        </a:xfrm>
        <a:prstGeom prst="roundRect">
          <a:avLst>
            <a:gd name="adj" fmla="val 2738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1">
              <a:solidFill>
                <a:srgbClr val="E0615B"/>
              </a:solidFill>
              <a:latin typeface="+mn-lt"/>
              <a:ea typeface="+mn-ea"/>
              <a:cs typeface="+mn-cs"/>
            </a:rPr>
            <a:t>Demand Category Distribution</a:t>
          </a:r>
          <a:endParaRPr lang="en-KE" sz="1100" b="1">
            <a:solidFill>
              <a:srgbClr val="E0615B"/>
            </a:solidFill>
            <a:latin typeface="+mn-lt"/>
            <a:ea typeface="+mn-ea"/>
            <a:cs typeface="+mn-cs"/>
          </a:endParaRPr>
        </a:p>
      </xdr:txBody>
    </xdr:sp>
    <xdr:clientData/>
  </xdr:twoCellAnchor>
  <xdr:twoCellAnchor>
    <xdr:from>
      <xdr:col>6</xdr:col>
      <xdr:colOff>25400</xdr:colOff>
      <xdr:row>19</xdr:row>
      <xdr:rowOff>158750</xdr:rowOff>
    </xdr:from>
    <xdr:to>
      <xdr:col>16</xdr:col>
      <xdr:colOff>590550</xdr:colOff>
      <xdr:row>26</xdr:row>
      <xdr:rowOff>31750</xdr:rowOff>
    </xdr:to>
    <xdr:graphicFrame macro="">
      <xdr:nvGraphicFramePr>
        <xdr:cNvPr id="70" name="Chart 69">
          <a:extLst>
            <a:ext uri="{FF2B5EF4-FFF2-40B4-BE49-F238E27FC236}">
              <a16:creationId xmlns:a16="http://schemas.microsoft.com/office/drawing/2014/main" id="{B7C37F42-D7D9-465C-87CC-2BC1CA002B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31750</xdr:colOff>
      <xdr:row>19</xdr:row>
      <xdr:rowOff>19050</xdr:rowOff>
    </xdr:from>
    <xdr:to>
      <xdr:col>9</xdr:col>
      <xdr:colOff>317500</xdr:colOff>
      <xdr:row>19</xdr:row>
      <xdr:rowOff>196850</xdr:rowOff>
    </xdr:to>
    <xdr:sp macro="" textlink="">
      <xdr:nvSpPr>
        <xdr:cNvPr id="73" name="Rectangle: Rounded Corners 72">
          <a:extLst>
            <a:ext uri="{FF2B5EF4-FFF2-40B4-BE49-F238E27FC236}">
              <a16:creationId xmlns:a16="http://schemas.microsoft.com/office/drawing/2014/main" id="{0BD0C951-D29C-4C12-8D74-C58E4048FE9B}"/>
            </a:ext>
          </a:extLst>
        </xdr:cNvPr>
        <xdr:cNvSpPr/>
      </xdr:nvSpPr>
      <xdr:spPr>
        <a:xfrm>
          <a:off x="3689350" y="4813300"/>
          <a:ext cx="2114550" cy="177800"/>
        </a:xfrm>
        <a:prstGeom prst="roundRect">
          <a:avLst>
            <a:gd name="adj" fmla="val 48809"/>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1100" b="1">
              <a:solidFill>
                <a:srgbClr val="E0615B"/>
              </a:solidFill>
              <a:latin typeface="+mn-lt"/>
              <a:ea typeface="+mn-ea"/>
              <a:cs typeface="+mn-cs"/>
            </a:rPr>
            <a:t>Price Range by Genre</a:t>
          </a:r>
          <a:endParaRPr lang="en-KE" sz="1100" b="1">
            <a:solidFill>
              <a:srgbClr val="E0615B"/>
            </a:solidFill>
            <a:latin typeface="+mn-lt"/>
            <a:ea typeface="+mn-ea"/>
            <a:cs typeface="+mn-cs"/>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192.805056828707" backgroundQuery="1" createdVersion="7" refreshedVersion="7" minRefreshableVersion="3" recordCount="0" supportSubquery="1" supportAdvancedDrill="1" xr:uid="{EFC2DE67-6823-4ADB-BF3F-6492E20C4FAE}">
  <cacheSource type="external" connectionId="3"/>
  <cacheFields count="2">
    <cacheField name="[Measures].[Median Stock Count]" caption="Median Stock Count" numFmtId="0" hierarchy="13" level="32767"/>
    <cacheField name="[Measures].[Distinct Count of Genre]" caption="Distinct Count of Genre" numFmtId="0" hierarchy="30" level="32767"/>
  </cacheFields>
  <cacheHierarchies count="31">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0" memberValueDatatype="130" unbalanced="0"/>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0" memberValueDatatype="130" unbalanced="0"/>
    <cacheHierarchy uniqueName="[Raw Data].[Genre Filter]" caption="Genre Filter" attribute="1" defaultMemberUniqueName="[Raw Data].[Genre Filter].[All]" allUniqueName="[Raw Data].[Genre Filter].[All]" dimensionUniqueName="[Raw Data]" displayFolder="" count="0" memberValueDatatype="130" unbalanced="0"/>
    <cacheHierarchy uniqueName="[Raw Data].[Genre Sort]" caption="Genre Sort" attribute="1" defaultMemberUniqueName="[Raw Data].[Genre Sort].[All]" allUniqueName="[Raw Data].[Genre Sort].[All]" dimensionUniqueName="[Raw Data]" displayFolder="" count="0" memberValueDatatype="20" unbalanced="0"/>
    <cacheHierarchy uniqueName="[Measures].[Total Books]" caption="Total Books" measure="1" displayFolder="" measureGroup="Raw Data" count="0"/>
    <cacheHierarchy uniqueName="[Measures].[Avg Stock Count]" caption="Avg Stock Count" measure="1" displayFolder="" measureGroup="Raw Data" count="0"/>
    <cacheHierarchy uniqueName="[Measures].[Avg Price]" caption="Avg Price" measure="1" displayFolder="" measureGroup="Raw Data" count="0"/>
    <cacheHierarchy uniqueName="[Measures].[AVG RATING]" caption="AVG RATING" measure="1" displayFolder="" measureGroup="Raw Data" count="0"/>
    <cacheHierarchy uniqueName="[Measures].[Median Stock Count]" caption="Median Stock Count" measure="1" displayFolder="" measureGroup="Raw Data" count="0" oneField="1">
      <fieldsUsage count="1">
        <fieldUsage x="0"/>
      </fieldsUsage>
    </cacheHierarchy>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hidden="1"/>
    <cacheHierarchy uniqueName="[Measures].[Count of Title]" caption="Count of Title" measure="1" displayFolder="" measureGroup="Raw Data" count="0" hidden="1">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hidden="1">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hidden="1">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hidden="1">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hidden="1">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hidden="1">
      <extLst>
        <ext xmlns:x15="http://schemas.microsoft.com/office/spreadsheetml/2010/11/main" uri="{B97F6D7D-B522-45F9-BDA1-12C45D357490}">
          <x15:cacheHierarchy aggregatedColumn="1"/>
        </ext>
      </extLst>
    </cacheHierarchy>
    <cacheHierarchy uniqueName="[Measures].[Distinct Count of Genre]" caption="Distinct Count of Genre" measure="1" displayFolder="" measureGroup="Raw Data" count="0" oneField="1" hidden="1">
      <fieldsUsage count="1">
        <fieldUsage x="1"/>
      </fieldsUsage>
      <extLst>
        <ext xmlns:x15="http://schemas.microsoft.com/office/spreadsheetml/2010/11/main" uri="{B97F6D7D-B522-45F9-BDA1-12C45D357490}">
          <x15:cacheHierarchy aggregatedColumn="1"/>
        </ext>
      </extLst>
    </cacheHierarchy>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dimensions count="2">
    <dimension measure="1" name="Measures" uniqueName="[Measures]" caption="Measures"/>
    <dimension name="Raw Data" uniqueName="[Raw Data]" caption="Raw Data"/>
  </dimensions>
  <measureGroups count="1">
    <measureGroup name="Raw Data" caption="Ra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200.457582407405" backgroundQuery="1" createdVersion="7" refreshedVersion="7" minRefreshableVersion="3" recordCount="0" supportSubquery="1" supportAdvancedDrill="1" xr:uid="{4D8ABE58-B566-4257-B703-12CBFA61EBA0}">
  <cacheSource type="external" connectionId="3"/>
  <cacheFields count="6">
    <cacheField name="[Measures].[Total Books]" caption="Total Books" numFmtId="0" hierarchy="15" level="32767"/>
    <cacheField name="[Measures].[Avg Stock Count]" caption="Avg Stock Count" numFmtId="0" hierarchy="16" level="32767"/>
    <cacheField name="[Measures].[Avg Price]" caption="Avg Price" numFmtId="0" hierarchy="17" level="32767"/>
    <cacheField name="[Measures].[AVG RATING]" caption="AVG RATING" numFmtId="0" hierarchy="18" level="32767"/>
    <cacheField name="[Measures].[_AVG RATING Status]" caption="_AVG RATING Status" numFmtId="0" hierarchy="29" level="32767"/>
    <cacheField name="[Raw Data].[Genre Filter].[Genre Filter]" caption="Genre Filter" numFmtId="0" hierarchy="7" level="1">
      <sharedItems containsSemiMixedTypes="0" containsNonDate="0" containsString="0"/>
    </cacheField>
  </cacheFields>
  <cacheHierarchies count="30">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0" memberValueDatatype="130" unbalanced="0"/>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0" memberValueDatatype="130" unbalanced="0"/>
    <cacheHierarchy uniqueName="[Raw Data].[Genre Filter]" caption="Genre Filter" attribute="1" defaultMemberUniqueName="[Raw Data].[Genre Filter].[All]" allUniqueName="[Raw Data].[Genre Filter].[All]" dimensionUniqueName="[Raw Data]" displayFolder="" count="2" memberValueDatatype="130" unbalanced="0">
      <fieldsUsage count="2">
        <fieldUsage x="-1"/>
        <fieldUsage x="5"/>
      </fieldsUsage>
    </cacheHierarchy>
    <cacheHierarchy uniqueName="[Raw Data].[Genre Sort]" caption="Genre Sort" attribute="1" defaultMemberUniqueName="[Raw Data].[Genre Sort].[All]" allUniqueName="[Raw Data].[Genre Sort].[All]" dimensionUniqueName="[Raw Data]" displayFolder="" count="0" memberValueDatatype="20" unbalanced="0"/>
    <cacheHierarchy uniqueName="[Measures].[Count of Title]" caption="Count of Title" measure="1" displayFolder="" measureGroup="Raw Data" count="0">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extLst>
        <ext xmlns:x15="http://schemas.microsoft.com/office/spreadsheetml/2010/11/main" uri="{B97F6D7D-B522-45F9-BDA1-12C45D357490}">
          <x15:cacheHierarchy aggregatedColumn="1"/>
        </ext>
      </extLst>
    </cacheHierarchy>
    <cacheHierarchy uniqueName="[Measures].[Total Books]" caption="Total Books" measure="1" displayFolder="" measureGroup="Raw Data" count="0" oneField="1">
      <fieldsUsage count="1">
        <fieldUsage x="0"/>
      </fieldsUsage>
    </cacheHierarchy>
    <cacheHierarchy uniqueName="[Measures].[Avg Stock Count]" caption="Avg Stock Count" measure="1" displayFolder="" measureGroup="Raw Data" count="0" oneField="1">
      <fieldsUsage count="1">
        <fieldUsage x="1"/>
      </fieldsUsage>
    </cacheHierarchy>
    <cacheHierarchy uniqueName="[Measures].[Avg Price]" caption="Avg Price" measure="1" displayFolder="" measureGroup="Raw Data" count="0" oneField="1">
      <fieldsUsage count="1">
        <fieldUsage x="2"/>
      </fieldsUsage>
    </cacheHierarchy>
    <cacheHierarchy uniqueName="[Measures].[AVG RATING]" caption="AVG RATING" measure="1" displayFolder="" measureGroup="Raw Data" count="0" oneField="1">
      <fieldsUsage count="1">
        <fieldUsage x="3"/>
      </fieldsUsage>
    </cacheHierarchy>
    <cacheHierarchy uniqueName="[Measures].[Median Stock Count]" caption="Median Stock Count" measure="1" displayFolder="" measureGroup="Raw Data" count="0"/>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oneField="1" hidden="1">
      <fieldsUsage count="1">
        <fieldUsage x="4"/>
      </fieldsUsage>
    </cacheHierarchy>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dimensions count="2">
    <dimension measure="1" name="Measures" uniqueName="[Measures]" caption="Measures"/>
    <dimension name="Raw Data" uniqueName="[Raw Data]" caption="Raw Data"/>
  </dimensions>
  <measureGroups count="1">
    <measureGroup name="Raw Data" caption="Ra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200.488402546296" backgroundQuery="1" createdVersion="7" refreshedVersion="7" minRefreshableVersion="3" recordCount="0" supportSubquery="1" supportAdvancedDrill="1" xr:uid="{B962515E-DD47-480F-9B10-39700BB420A1}">
  <cacheSource type="external" connectionId="3"/>
  <cacheFields count="3">
    <cacheField name="[Raw Data].[Genre].[Genre]" caption="Genre" numFmtId="0" hierarchy="1" level="1">
      <sharedItems count="30">
        <s v="Academic"/>
        <s v="Art"/>
        <s v="Biography"/>
        <s v="Business"/>
        <s v="Classics"/>
        <s v="Crime"/>
        <s v="Default"/>
        <s v="Fantasy"/>
        <s v="Food and Drink"/>
        <s v="Health"/>
        <s v="Historical Fiction"/>
        <s v="Horror"/>
        <s v="Humor"/>
        <s v="Music"/>
        <s v="Mystery"/>
        <s v="Parody"/>
        <s v="Philosophy"/>
        <s v="Poetry"/>
        <s v="Psychology"/>
        <s v="Romance"/>
        <s v="Science Fiction"/>
        <s v="Self Help"/>
        <s v="Sequential Art"/>
        <s v="Short Stories"/>
        <s v="Sports"/>
        <s v="Suspense"/>
        <s v="Thriller"/>
        <s v="Travel"/>
        <s v="Womens Fiction"/>
        <s v="Young Adult"/>
      </sharedItems>
      <extLst>
        <ext xmlns:x15="http://schemas.microsoft.com/office/spreadsheetml/2010/11/main" uri="{4F2E5C28-24EA-4eb8-9CBF-B6C8F9C3D259}">
          <x15:cachedUniqueNames>
            <x15:cachedUniqueName index="0" name="[Raw Data].[Genre].&amp;[Academic]"/>
            <x15:cachedUniqueName index="1" name="[Raw Data].[Genre].&amp;[Art]"/>
            <x15:cachedUniqueName index="2" name="[Raw Data].[Genre].&amp;[Biography]"/>
            <x15:cachedUniqueName index="3" name="[Raw Data].[Genre].&amp;[Business]"/>
            <x15:cachedUniqueName index="4" name="[Raw Data].[Genre].&amp;[Classics]"/>
            <x15:cachedUniqueName index="5" name="[Raw Data].[Genre].&amp;[Crime]"/>
            <x15:cachedUniqueName index="6" name="[Raw Data].[Genre].&amp;[Default]"/>
            <x15:cachedUniqueName index="7" name="[Raw Data].[Genre].&amp;[Fantasy]"/>
            <x15:cachedUniqueName index="8" name="[Raw Data].[Genre].&amp;[Food and Drink]"/>
            <x15:cachedUniqueName index="9" name="[Raw Data].[Genre].&amp;[Health]"/>
            <x15:cachedUniqueName index="10" name="[Raw Data].[Genre].&amp;[Historical Fiction]"/>
            <x15:cachedUniqueName index="11" name="[Raw Data].[Genre].&amp;[Horror]"/>
            <x15:cachedUniqueName index="12" name="[Raw Data].[Genre].&amp;[Humor]"/>
            <x15:cachedUniqueName index="13" name="[Raw Data].[Genre].&amp;[Music]"/>
            <x15:cachedUniqueName index="14" name="[Raw Data].[Genre].&amp;[Mystery]"/>
            <x15:cachedUniqueName index="15" name="[Raw Data].[Genre].&amp;[Parody]"/>
            <x15:cachedUniqueName index="16" name="[Raw Data].[Genre].&amp;[Philosophy]"/>
            <x15:cachedUniqueName index="17" name="[Raw Data].[Genre].&amp;[Poetry]"/>
            <x15:cachedUniqueName index="18" name="[Raw Data].[Genre].&amp;[Psychology]"/>
            <x15:cachedUniqueName index="19" name="[Raw Data].[Genre].&amp;[Romance]"/>
            <x15:cachedUniqueName index="20" name="[Raw Data].[Genre].&amp;[Science Fiction]"/>
            <x15:cachedUniqueName index="21" name="[Raw Data].[Genre].&amp;[Self Help]"/>
            <x15:cachedUniqueName index="22" name="[Raw Data].[Genre].&amp;[Sequential Art]"/>
            <x15:cachedUniqueName index="23" name="[Raw Data].[Genre].&amp;[Short Stories]"/>
            <x15:cachedUniqueName index="24" name="[Raw Data].[Genre].&amp;[Sports]"/>
            <x15:cachedUniqueName index="25" name="[Raw Data].[Genre].&amp;[Suspense]"/>
            <x15:cachedUniqueName index="26" name="[Raw Data].[Genre].&amp;[Thriller]"/>
            <x15:cachedUniqueName index="27" name="[Raw Data].[Genre].&amp;[Travel]"/>
            <x15:cachedUniqueName index="28" name="[Raw Data].[Genre].&amp;[Womens Fiction]"/>
            <x15:cachedUniqueName index="29" name="[Raw Data].[Genre].&amp;[Young Adult]"/>
          </x15:cachedUniqueNames>
        </ext>
      </extLst>
    </cacheField>
    <cacheField name="[Measures].[Count of Title]" caption="Count of Title" numFmtId="0" hierarchy="9" level="32767"/>
    <cacheField name="[Raw Data].[Demand Analysis].[Demand Analysis]" caption="Demand Analysis" numFmtId="0" hierarchy="6" level="1">
      <sharedItems containsSemiMixedTypes="0" containsNonDate="0" containsString="0"/>
    </cacheField>
  </cacheFields>
  <cacheHierarchies count="30">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2" memberValueDatatype="130" unbalanced="0">
      <fieldsUsage count="2">
        <fieldUsage x="-1"/>
        <fieldUsage x="0"/>
      </fieldsUsage>
    </cacheHierarchy>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2" memberValueDatatype="130" unbalanced="0">
      <fieldsUsage count="2">
        <fieldUsage x="-1"/>
        <fieldUsage x="2"/>
      </fieldsUsage>
    </cacheHierarchy>
    <cacheHierarchy uniqueName="[Raw Data].[Genre Filter]" caption="Genre Filter" attribute="1" defaultMemberUniqueName="[Raw Data].[Genre Filter].[All]" allUniqueName="[Raw Data].[Genre Filter].[All]" dimensionUniqueName="[Raw Data]" displayFolder="" count="0" memberValueDatatype="130" unbalanced="0"/>
    <cacheHierarchy uniqueName="[Raw Data].[Genre Sort]" caption="Genre Sort" attribute="1" defaultMemberUniqueName="[Raw Data].[Genre Sort].[All]" allUniqueName="[Raw Data].[Genre Sort].[All]" dimensionUniqueName="[Raw Data]" displayFolder="" count="0" memberValueDatatype="20" unbalanced="0"/>
    <cacheHierarchy uniqueName="[Measures].[Count of Title]" caption="Count of Title" measure="1" displayFolder="" measureGroup="Raw Data" count="0" oneField="1">
      <fieldsUsage count="1">
        <fieldUsage x="1"/>
      </fieldsUsage>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extLst>
        <ext xmlns:x15="http://schemas.microsoft.com/office/spreadsheetml/2010/11/main" uri="{B97F6D7D-B522-45F9-BDA1-12C45D357490}">
          <x15:cacheHierarchy aggregatedColumn="1"/>
        </ext>
      </extLst>
    </cacheHierarchy>
    <cacheHierarchy uniqueName="[Measures].[Total Books]" caption="Total Books" measure="1" displayFolder="" measureGroup="Raw Data" count="0"/>
    <cacheHierarchy uniqueName="[Measures].[Avg Stock Count]" caption="Avg Stock Count" measure="1" displayFolder="" measureGroup="Raw Data" count="0"/>
    <cacheHierarchy uniqueName="[Measures].[Avg Price]" caption="Avg Price" measure="1" displayFolder="" measureGroup="Raw Data" count="0"/>
    <cacheHierarchy uniqueName="[Measures].[AVG RATING]" caption="AVG RATING" measure="1" displayFolder="" measureGroup="Raw Data" count="0"/>
    <cacheHierarchy uniqueName="[Measures].[Median Stock Count]" caption="Median Stock Count" measure="1" displayFolder="" measureGroup="Raw Data" count="0"/>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hidden="1"/>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dimensions count="2">
    <dimension measure="1" name="Measures" uniqueName="[Measures]" caption="Measures"/>
    <dimension name="Raw Data" uniqueName="[Raw Data]" caption="Raw Data"/>
  </dimensions>
  <measureGroups count="1">
    <measureGroup name="Raw Data" caption="Ra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200.491534490742" backgroundQuery="1" createdVersion="7" refreshedVersion="7" minRefreshableVersion="3" recordCount="0" supportSubquery="1" supportAdvancedDrill="1" xr:uid="{04972901-799D-4E8E-92E2-00E45D5A7D3A}">
  <cacheSource type="external" connectionId="3"/>
  <cacheFields count="2">
    <cacheField name="[Raw Data].[Demand Analysis].[Demand Analysis]" caption="Demand Analysis" numFmtId="0" hierarchy="6" level="1">
      <sharedItems count="4">
        <s v="Demand Gap"/>
        <s v="Low Priority"/>
        <s v="Review Pricing"/>
        <s v="Well Supplied"/>
      </sharedItems>
      <extLst>
        <ext xmlns:x15="http://schemas.microsoft.com/office/spreadsheetml/2010/11/main" uri="{4F2E5C28-24EA-4eb8-9CBF-B6C8F9C3D259}">
          <x15:cachedUniqueNames>
            <x15:cachedUniqueName index="0" name="[Raw Data].[Demand Analysis].&amp;[Demand Gap]"/>
            <x15:cachedUniqueName index="1" name="[Raw Data].[Demand Analysis].&amp;[Low Priority]"/>
            <x15:cachedUniqueName index="2" name="[Raw Data].[Demand Analysis].&amp;[Review Pricing]"/>
            <x15:cachedUniqueName index="3" name="[Raw Data].[Demand Analysis].&amp;[Well Supplied]"/>
          </x15:cachedUniqueNames>
        </ext>
      </extLst>
    </cacheField>
    <cacheField name="[Measures].[Count of Title]" caption="Count of Title" numFmtId="0" hierarchy="24" level="32767"/>
  </cacheFields>
  <cacheHierarchies count="31">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0" memberValueDatatype="130" unbalanced="0"/>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2" memberValueDatatype="130" unbalanced="0">
      <fieldsUsage count="2">
        <fieldUsage x="-1"/>
        <fieldUsage x="0"/>
      </fieldsUsage>
    </cacheHierarchy>
    <cacheHierarchy uniqueName="[Raw Data].[Genre Filter]" caption="Genre Filter" attribute="1" defaultMemberUniqueName="[Raw Data].[Genre Filter].[All]" allUniqueName="[Raw Data].[Genre Filter].[All]" dimensionUniqueName="[Raw Data]" displayFolder="" count="0" memberValueDatatype="130" unbalanced="0"/>
    <cacheHierarchy uniqueName="[Raw Data].[Genre Sort]" caption="Genre Sort" attribute="1" defaultMemberUniqueName="[Raw Data].[Genre Sort].[All]" allUniqueName="[Raw Data].[Genre Sort].[All]" dimensionUniqueName="[Raw Data]" displayFolder="" count="0" memberValueDatatype="20" unbalanced="0"/>
    <cacheHierarchy uniqueName="[Measures].[Total Books]" caption="Total Books" measure="1" displayFolder="" measureGroup="Raw Data" count="0"/>
    <cacheHierarchy uniqueName="[Measures].[Avg Stock Count]" caption="Avg Stock Count" measure="1" displayFolder="" measureGroup="Raw Data" count="0"/>
    <cacheHierarchy uniqueName="[Measures].[Avg Price]" caption="Avg Price" measure="1" displayFolder="" measureGroup="Raw Data" count="0"/>
    <cacheHierarchy uniqueName="[Measures].[AVG RATING]" caption="AVG RATING" measure="1" displayFolder="" measureGroup="Raw Data" count="0"/>
    <cacheHierarchy uniqueName="[Measures].[Median Stock Count]" caption="Median Stock Count" measure="1" displayFolder="" measureGroup="Raw Data" count="0"/>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hidden="1"/>
    <cacheHierarchy uniqueName="[Measures].[Count of Title]" caption="Count of Title" measure="1" displayFolder="" measureGroup="Raw Data"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hidden="1">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hidden="1">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hidden="1">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hidden="1">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hidden="1">
      <extLst>
        <ext xmlns:x15="http://schemas.microsoft.com/office/spreadsheetml/2010/11/main" uri="{B97F6D7D-B522-45F9-BDA1-12C45D357490}">
          <x15:cacheHierarchy aggregatedColumn="1"/>
        </ext>
      </extLst>
    </cacheHierarchy>
    <cacheHierarchy uniqueName="[Measures].[Distinct Count of Genre]" caption="Distinct Count of Genre" measure="1" displayFolder="" measureGroup="Raw Data" count="0" hidden="1">
      <extLst>
        <ext xmlns:x15="http://schemas.microsoft.com/office/spreadsheetml/2010/11/main" uri="{B97F6D7D-B522-45F9-BDA1-12C45D357490}">
          <x15:cacheHierarchy aggregatedColumn="1"/>
        </ext>
      </extLst>
    </cacheHierarchy>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dimensions count="2">
    <dimension measure="1" name="Measures" uniqueName="[Measures]" caption="Measures"/>
    <dimension name="Raw Data" uniqueName="[Raw Data]" caption="Raw Data"/>
  </dimensions>
  <measureGroups count="1">
    <measureGroup name="Raw Data" caption="Ra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200.508637847219" backgroundQuery="1" createdVersion="7" refreshedVersion="7" minRefreshableVersion="3" recordCount="0" supportSubquery="1" supportAdvancedDrill="1" xr:uid="{1CD1B778-DB17-4CB8-B4E1-061169970A7E}">
  <cacheSource type="external" connectionId="3"/>
  <cacheFields count="2">
    <cacheField name="[Raw Data].[Demand Analysis].[Demand Analysis]" caption="Demand Analysis" numFmtId="0" hierarchy="6" level="1">
      <sharedItems count="4">
        <s v="Demand Gap"/>
        <s v="Low Priority"/>
        <s v="Review Pricing"/>
        <s v="Well Supplied"/>
      </sharedItems>
      <extLst>
        <ext xmlns:x15="http://schemas.microsoft.com/office/spreadsheetml/2010/11/main" uri="{4F2E5C28-24EA-4eb8-9CBF-B6C8F9C3D259}">
          <x15:cachedUniqueNames>
            <x15:cachedUniqueName index="0" name="[Raw Data].[Demand Analysis].&amp;[Demand Gap]"/>
            <x15:cachedUniqueName index="1" name="[Raw Data].[Demand Analysis].&amp;[Low Priority]"/>
            <x15:cachedUniqueName index="2" name="[Raw Data].[Demand Analysis].&amp;[Review Pricing]"/>
            <x15:cachedUniqueName index="3" name="[Raw Data].[Demand Analysis].&amp;[Well Supplied]"/>
          </x15:cachedUniqueNames>
        </ext>
      </extLst>
    </cacheField>
    <cacheField name="[Measures].[Count of Title]" caption="Count of Title" numFmtId="0" hierarchy="9" level="32767"/>
  </cacheFields>
  <cacheHierarchies count="30">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0" memberValueDatatype="130" unbalanced="0"/>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2" memberValueDatatype="130" unbalanced="0">
      <fieldsUsage count="2">
        <fieldUsage x="-1"/>
        <fieldUsage x="0"/>
      </fieldsUsage>
    </cacheHierarchy>
    <cacheHierarchy uniqueName="[Raw Data].[Genre Filter]" caption="Genre Filter" attribute="1" defaultMemberUniqueName="[Raw Data].[Genre Filter].[All]" allUniqueName="[Raw Data].[Genre Filter].[All]" dimensionUniqueName="[Raw Data]" displayFolder="" count="0" memberValueDatatype="130" unbalanced="0"/>
    <cacheHierarchy uniqueName="[Raw Data].[Genre Sort]" caption="Genre Sort" attribute="1" defaultMemberUniqueName="[Raw Data].[Genre Sort].[All]" allUniqueName="[Raw Data].[Genre Sort].[All]" dimensionUniqueName="[Raw Data]" displayFolder="" count="0" memberValueDatatype="20" unbalanced="0"/>
    <cacheHierarchy uniqueName="[Measures].[Count of Title]" caption="Count of Title" measure="1" displayFolder="" measureGroup="Raw Data" count="0" oneField="1">
      <fieldsUsage count="1">
        <fieldUsage x="1"/>
      </fieldsUsage>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extLst>
        <ext xmlns:x15="http://schemas.microsoft.com/office/spreadsheetml/2010/11/main" uri="{B97F6D7D-B522-45F9-BDA1-12C45D357490}">
          <x15:cacheHierarchy aggregatedColumn="1"/>
        </ext>
      </extLst>
    </cacheHierarchy>
    <cacheHierarchy uniqueName="[Measures].[Total Books]" caption="Total Books" measure="1" displayFolder="" measureGroup="Raw Data" count="0"/>
    <cacheHierarchy uniqueName="[Measures].[Avg Stock Count]" caption="Avg Stock Count" measure="1" displayFolder="" measureGroup="Raw Data" count="0"/>
    <cacheHierarchy uniqueName="[Measures].[Avg Price]" caption="Avg Price" measure="1" displayFolder="" measureGroup="Raw Data" count="0"/>
    <cacheHierarchy uniqueName="[Measures].[AVG RATING]" caption="AVG RATING" measure="1" displayFolder="" measureGroup="Raw Data" count="0"/>
    <cacheHierarchy uniqueName="[Measures].[Median Stock Count]" caption="Median Stock Count" measure="1" displayFolder="" measureGroup="Raw Data" count="0"/>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hidden="1"/>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dimensions count="2">
    <dimension measure="1" name="Measures" uniqueName="[Measures]" caption="Measures"/>
    <dimension name="Raw Data" uniqueName="[Raw Data]" caption="Raw Data"/>
  </dimensions>
  <measureGroups count="1">
    <measureGroup name="Raw Data" caption="Ra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200.508638541665" backgroundQuery="1" createdVersion="7" refreshedVersion="7" minRefreshableVersion="3" recordCount="0" supportSubquery="1" supportAdvancedDrill="1" xr:uid="{709B5BFF-4BA2-4432-9107-BD2A72E11113}">
  <cacheSource type="external" connectionId="3"/>
  <cacheFields count="3">
    <cacheField name="[Raw Data].[Genre].[Genre]" caption="Genre" numFmtId="0" hierarchy="1" level="1">
      <sharedItems count="30">
        <s v="Academic"/>
        <s v="Art"/>
        <s v="Biography"/>
        <s v="Business"/>
        <s v="Classics"/>
        <s v="Crime"/>
        <s v="Default"/>
        <s v="Fantasy"/>
        <s v="Food and Drink"/>
        <s v="Health"/>
        <s v="Historical Fiction"/>
        <s v="Horror"/>
        <s v="Humor"/>
        <s v="Music"/>
        <s v="Mystery"/>
        <s v="Parody"/>
        <s v="Philosophy"/>
        <s v="Poetry"/>
        <s v="Psychology"/>
        <s v="Romance"/>
        <s v="Science Fiction"/>
        <s v="Self Help"/>
        <s v="Sequential Art"/>
        <s v="Short Stories"/>
        <s v="Sports"/>
        <s v="Suspense"/>
        <s v="Thriller"/>
        <s v="Travel"/>
        <s v="Womens Fiction"/>
        <s v="Young Adult"/>
      </sharedItems>
      <extLst>
        <ext xmlns:x15="http://schemas.microsoft.com/office/spreadsheetml/2010/11/main" uri="{4F2E5C28-24EA-4eb8-9CBF-B6C8F9C3D259}">
          <x15:cachedUniqueNames>
            <x15:cachedUniqueName index="0" name="[Raw Data].[Genre].&amp;[Academic]"/>
            <x15:cachedUniqueName index="1" name="[Raw Data].[Genre].&amp;[Art]"/>
            <x15:cachedUniqueName index="2" name="[Raw Data].[Genre].&amp;[Biography]"/>
            <x15:cachedUniqueName index="3" name="[Raw Data].[Genre].&amp;[Business]"/>
            <x15:cachedUniqueName index="4" name="[Raw Data].[Genre].&amp;[Classics]"/>
            <x15:cachedUniqueName index="5" name="[Raw Data].[Genre].&amp;[Crime]"/>
            <x15:cachedUniqueName index="6" name="[Raw Data].[Genre].&amp;[Default]"/>
            <x15:cachedUniqueName index="7" name="[Raw Data].[Genre].&amp;[Fantasy]"/>
            <x15:cachedUniqueName index="8" name="[Raw Data].[Genre].&amp;[Food and Drink]"/>
            <x15:cachedUniqueName index="9" name="[Raw Data].[Genre].&amp;[Health]"/>
            <x15:cachedUniqueName index="10" name="[Raw Data].[Genre].&amp;[Historical Fiction]"/>
            <x15:cachedUniqueName index="11" name="[Raw Data].[Genre].&amp;[Horror]"/>
            <x15:cachedUniqueName index="12" name="[Raw Data].[Genre].&amp;[Humor]"/>
            <x15:cachedUniqueName index="13" name="[Raw Data].[Genre].&amp;[Music]"/>
            <x15:cachedUniqueName index="14" name="[Raw Data].[Genre].&amp;[Mystery]"/>
            <x15:cachedUniqueName index="15" name="[Raw Data].[Genre].&amp;[Parody]"/>
            <x15:cachedUniqueName index="16" name="[Raw Data].[Genre].&amp;[Philosophy]"/>
            <x15:cachedUniqueName index="17" name="[Raw Data].[Genre].&amp;[Poetry]"/>
            <x15:cachedUniqueName index="18" name="[Raw Data].[Genre].&amp;[Psychology]"/>
            <x15:cachedUniqueName index="19" name="[Raw Data].[Genre].&amp;[Romance]"/>
            <x15:cachedUniqueName index="20" name="[Raw Data].[Genre].&amp;[Science Fiction]"/>
            <x15:cachedUniqueName index="21" name="[Raw Data].[Genre].&amp;[Self Help]"/>
            <x15:cachedUniqueName index="22" name="[Raw Data].[Genre].&amp;[Sequential Art]"/>
            <x15:cachedUniqueName index="23" name="[Raw Data].[Genre].&amp;[Short Stories]"/>
            <x15:cachedUniqueName index="24" name="[Raw Data].[Genre].&amp;[Sports]"/>
            <x15:cachedUniqueName index="25" name="[Raw Data].[Genre].&amp;[Suspense]"/>
            <x15:cachedUniqueName index="26" name="[Raw Data].[Genre].&amp;[Thriller]"/>
            <x15:cachedUniqueName index="27" name="[Raw Data].[Genre].&amp;[Travel]"/>
            <x15:cachedUniqueName index="28" name="[Raw Data].[Genre].&amp;[Womens Fiction]"/>
            <x15:cachedUniqueName index="29" name="[Raw Data].[Genre].&amp;[Young Adult]"/>
          </x15:cachedUniqueNames>
        </ext>
      </extLst>
    </cacheField>
    <cacheField name="[Measures].[Count of Title]" caption="Count of Title" numFmtId="0" hierarchy="9" level="32767"/>
    <cacheField name="[Raw Data].[Demand Analysis].[Demand Analysis]" caption="Demand Analysis" numFmtId="0" hierarchy="6" level="1">
      <sharedItems containsSemiMixedTypes="0" containsNonDate="0" containsString="0"/>
    </cacheField>
  </cacheFields>
  <cacheHierarchies count="30">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2" memberValueDatatype="130" unbalanced="0">
      <fieldsUsage count="2">
        <fieldUsage x="-1"/>
        <fieldUsage x="0"/>
      </fieldsUsage>
    </cacheHierarchy>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2" memberValueDatatype="130" unbalanced="0">
      <fieldsUsage count="2">
        <fieldUsage x="-1"/>
        <fieldUsage x="2"/>
      </fieldsUsage>
    </cacheHierarchy>
    <cacheHierarchy uniqueName="[Raw Data].[Genre Filter]" caption="Genre Filter" attribute="1" defaultMemberUniqueName="[Raw Data].[Genre Filter].[All]" allUniqueName="[Raw Data].[Genre Filter].[All]" dimensionUniqueName="[Raw Data]" displayFolder="" count="0" memberValueDatatype="130" unbalanced="0"/>
    <cacheHierarchy uniqueName="[Raw Data].[Genre Sort]" caption="Genre Sort" attribute="1" defaultMemberUniqueName="[Raw Data].[Genre Sort].[All]" allUniqueName="[Raw Data].[Genre Sort].[All]" dimensionUniqueName="[Raw Data]" displayFolder="" count="0" memberValueDatatype="20" unbalanced="0"/>
    <cacheHierarchy uniqueName="[Measures].[Count of Title]" caption="Count of Title" measure="1" displayFolder="" measureGroup="Raw Data" count="0" oneField="1">
      <fieldsUsage count="1">
        <fieldUsage x="1"/>
      </fieldsUsage>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extLst>
        <ext xmlns:x15="http://schemas.microsoft.com/office/spreadsheetml/2010/11/main" uri="{B97F6D7D-B522-45F9-BDA1-12C45D357490}">
          <x15:cacheHierarchy aggregatedColumn="1"/>
        </ext>
      </extLst>
    </cacheHierarchy>
    <cacheHierarchy uniqueName="[Measures].[Total Books]" caption="Total Books" measure="1" displayFolder="" measureGroup="Raw Data" count="0"/>
    <cacheHierarchy uniqueName="[Measures].[Avg Stock Count]" caption="Avg Stock Count" measure="1" displayFolder="" measureGroup="Raw Data" count="0"/>
    <cacheHierarchy uniqueName="[Measures].[Avg Price]" caption="Avg Price" measure="1" displayFolder="" measureGroup="Raw Data" count="0"/>
    <cacheHierarchy uniqueName="[Measures].[AVG RATING]" caption="AVG RATING" measure="1" displayFolder="" measureGroup="Raw Data" count="0"/>
    <cacheHierarchy uniqueName="[Measures].[Median Stock Count]" caption="Median Stock Count" measure="1" displayFolder="" measureGroup="Raw Data" count="0"/>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hidden="1"/>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dimensions count="2">
    <dimension measure="1" name="Measures" uniqueName="[Measures]" caption="Measures"/>
    <dimension name="Raw Data" uniqueName="[Raw Data]" caption="Raw Data"/>
  </dimensions>
  <measureGroups count="1">
    <measureGroup name="Raw Data" caption="Ra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200.508638888889" backgroundQuery="1" createdVersion="7" refreshedVersion="7" minRefreshableVersion="3" recordCount="0" supportSubquery="1" supportAdvancedDrill="1" xr:uid="{F87EA375-FACA-4456-9640-D47E8F7824B0}">
  <cacheSource type="external" connectionId="3"/>
  <cacheFields count="5">
    <cacheField name="[Raw Data].[Genre].[Genre]" caption="Genre" numFmtId="0" hierarchy="1" level="1">
      <sharedItems count="30">
        <s v="Academic"/>
        <s v="Art"/>
        <s v="Biography"/>
        <s v="Business"/>
        <s v="Classics"/>
        <s v="Crime"/>
        <s v="Default"/>
        <s v="Fantasy"/>
        <s v="Food and Drink"/>
        <s v="Health"/>
        <s v="Historical Fiction"/>
        <s v="Horror"/>
        <s v="Humor"/>
        <s v="Music"/>
        <s v="Mystery"/>
        <s v="Parody"/>
        <s v="Philosophy"/>
        <s v="Poetry"/>
        <s v="Psychology"/>
        <s v="Romance"/>
        <s v="Science Fiction"/>
        <s v="Self Help"/>
        <s v="Sequential Art"/>
        <s v="Short Stories"/>
        <s v="Sports"/>
        <s v="Suspense"/>
        <s v="Thriller"/>
        <s v="Travel"/>
        <s v="Womens Fiction"/>
        <s v="Young Adult"/>
      </sharedItems>
      <extLst>
        <ext xmlns:x15="http://schemas.microsoft.com/office/spreadsheetml/2010/11/main" uri="{4F2E5C28-24EA-4eb8-9CBF-B6C8F9C3D259}">
          <x15:cachedUniqueNames>
            <x15:cachedUniqueName index="0" name="[Raw Data].[Genre].&amp;[Academic]"/>
            <x15:cachedUniqueName index="1" name="[Raw Data].[Genre].&amp;[Art]"/>
            <x15:cachedUniqueName index="2" name="[Raw Data].[Genre].&amp;[Biography]"/>
            <x15:cachedUniqueName index="3" name="[Raw Data].[Genre].&amp;[Business]"/>
            <x15:cachedUniqueName index="4" name="[Raw Data].[Genre].&amp;[Classics]"/>
            <x15:cachedUniqueName index="5" name="[Raw Data].[Genre].&amp;[Crime]"/>
            <x15:cachedUniqueName index="6" name="[Raw Data].[Genre].&amp;[Default]"/>
            <x15:cachedUniqueName index="7" name="[Raw Data].[Genre].&amp;[Fantasy]"/>
            <x15:cachedUniqueName index="8" name="[Raw Data].[Genre].&amp;[Food and Drink]"/>
            <x15:cachedUniqueName index="9" name="[Raw Data].[Genre].&amp;[Health]"/>
            <x15:cachedUniqueName index="10" name="[Raw Data].[Genre].&amp;[Historical Fiction]"/>
            <x15:cachedUniqueName index="11" name="[Raw Data].[Genre].&amp;[Horror]"/>
            <x15:cachedUniqueName index="12" name="[Raw Data].[Genre].&amp;[Humor]"/>
            <x15:cachedUniqueName index="13" name="[Raw Data].[Genre].&amp;[Music]"/>
            <x15:cachedUniqueName index="14" name="[Raw Data].[Genre].&amp;[Mystery]"/>
            <x15:cachedUniqueName index="15" name="[Raw Data].[Genre].&amp;[Parody]"/>
            <x15:cachedUniqueName index="16" name="[Raw Data].[Genre].&amp;[Philosophy]"/>
            <x15:cachedUniqueName index="17" name="[Raw Data].[Genre].&amp;[Poetry]"/>
            <x15:cachedUniqueName index="18" name="[Raw Data].[Genre].&amp;[Psychology]"/>
            <x15:cachedUniqueName index="19" name="[Raw Data].[Genre].&amp;[Romance]"/>
            <x15:cachedUniqueName index="20" name="[Raw Data].[Genre].&amp;[Science Fiction]"/>
            <x15:cachedUniqueName index="21" name="[Raw Data].[Genre].&amp;[Self Help]"/>
            <x15:cachedUniqueName index="22" name="[Raw Data].[Genre].&amp;[Sequential Art]"/>
            <x15:cachedUniqueName index="23" name="[Raw Data].[Genre].&amp;[Short Stories]"/>
            <x15:cachedUniqueName index="24" name="[Raw Data].[Genre].&amp;[Sports]"/>
            <x15:cachedUniqueName index="25" name="[Raw Data].[Genre].&amp;[Suspense]"/>
            <x15:cachedUniqueName index="26" name="[Raw Data].[Genre].&amp;[Thriller]"/>
            <x15:cachedUniqueName index="27" name="[Raw Data].[Genre].&amp;[Travel]"/>
            <x15:cachedUniqueName index="28" name="[Raw Data].[Genre].&amp;[Womens Fiction]"/>
            <x15:cachedUniqueName index="29" name="[Raw Data].[Genre].&amp;[Young Adult]"/>
          </x15:cachedUniqueNames>
        </ext>
      </extLst>
    </cacheField>
    <cacheField name="[Measures].[Average of Price (£)]" caption="Average of Price (£)" numFmtId="0" hierarchy="11" level="32767"/>
    <cacheField name="[Measures].[Max of Price (£)]" caption="Max of Price (£)" numFmtId="0" hierarchy="13" level="32767"/>
    <cacheField name="[Measures].[Min of Price (£)]" caption="Min of Price (£)" numFmtId="0" hierarchy="12" level="32767"/>
    <cacheField name="[Raw Data].[Demand Analysis].[Demand Analysis]" caption="Demand Analysis" numFmtId="0" hierarchy="6" level="1">
      <sharedItems containsSemiMixedTypes="0" containsNonDate="0" containsString="0"/>
    </cacheField>
  </cacheFields>
  <cacheHierarchies count="30">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2" memberValueDatatype="130" unbalanced="0">
      <fieldsUsage count="2">
        <fieldUsage x="-1"/>
        <fieldUsage x="0"/>
      </fieldsUsage>
    </cacheHierarchy>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2" memberValueDatatype="130" unbalanced="0">
      <fieldsUsage count="2">
        <fieldUsage x="-1"/>
        <fieldUsage x="4"/>
      </fieldsUsage>
    </cacheHierarchy>
    <cacheHierarchy uniqueName="[Raw Data].[Genre Filter]" caption="Genre Filter" attribute="1" defaultMemberUniqueName="[Raw Data].[Genre Filter].[All]" allUniqueName="[Raw Data].[Genre Filter].[All]" dimensionUniqueName="[Raw Data]" displayFolder="" count="0" memberValueDatatype="130" unbalanced="0"/>
    <cacheHierarchy uniqueName="[Raw Data].[Genre Sort]" caption="Genre Sort" attribute="1" defaultMemberUniqueName="[Raw Data].[Genre Sort].[All]" allUniqueName="[Raw Data].[Genre Sort].[All]" dimensionUniqueName="[Raw Data]" displayFolder="" count="0" memberValueDatatype="20" unbalanced="0"/>
    <cacheHierarchy uniqueName="[Measures].[Count of Title]" caption="Count of Title" measure="1" displayFolder="" measureGroup="Raw Data" count="0">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oneField="1">
      <fieldsUsage count="1">
        <fieldUsage x="1"/>
      </fieldsUsage>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oneField="1">
      <fieldsUsage count="1">
        <fieldUsage x="3"/>
      </fieldsUsage>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oneField="1">
      <fieldsUsage count="1">
        <fieldUsage x="2"/>
      </fieldsUsage>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extLst>
        <ext xmlns:x15="http://schemas.microsoft.com/office/spreadsheetml/2010/11/main" uri="{B97F6D7D-B522-45F9-BDA1-12C45D357490}">
          <x15:cacheHierarchy aggregatedColumn="1"/>
        </ext>
      </extLst>
    </cacheHierarchy>
    <cacheHierarchy uniqueName="[Measures].[Total Books]" caption="Total Books" measure="1" displayFolder="" measureGroup="Raw Data" count="0"/>
    <cacheHierarchy uniqueName="[Measures].[Avg Stock Count]" caption="Avg Stock Count" measure="1" displayFolder="" measureGroup="Raw Data" count="0"/>
    <cacheHierarchy uniqueName="[Measures].[Avg Price]" caption="Avg Price" measure="1" displayFolder="" measureGroup="Raw Data" count="0"/>
    <cacheHierarchy uniqueName="[Measures].[AVG RATING]" caption="AVG RATING" measure="1" displayFolder="" measureGroup="Raw Data" count="0"/>
    <cacheHierarchy uniqueName="[Measures].[Median Stock Count]" caption="Median Stock Count" measure="1" displayFolder="" measureGroup="Raw Data" count="0"/>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hidden="1"/>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dimensions count="2">
    <dimension measure="1" name="Measures" uniqueName="[Measures]" caption="Measures"/>
    <dimension name="Raw Data" uniqueName="[Raw Data]" caption="Raw Data"/>
  </dimensions>
  <measureGroups count="1">
    <measureGroup name="Raw Data" caption="Raw 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192.798872106483" backgroundQuery="1" createdVersion="3" refreshedVersion="7" minRefreshableVersion="3" recordCount="0" supportSubquery="1" supportAdvancedDrill="1" xr:uid="{423184A5-6354-4579-9769-FE287132BE71}">
  <cacheSource type="external" connectionId="3">
    <extLst>
      <ext xmlns:x14="http://schemas.microsoft.com/office/spreadsheetml/2009/9/main" uri="{F057638F-6D5F-4e77-A914-E7F072B9BCA8}">
        <x14:sourceConnection name="ThisWorkbookDataModel"/>
      </ext>
    </extLst>
  </cacheSource>
  <cacheFields count="0"/>
  <cacheHierarchies count="30">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0" memberValueDatatype="130" unbalanced="0"/>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2" memberValueDatatype="130" unbalanced="0"/>
    <cacheHierarchy uniqueName="[Raw Data].[Genre Filter]" caption="Genre Filter" attribute="1" defaultMemberUniqueName="[Raw Data].[Genre Filter].[All]" allUniqueName="[Raw Data].[Genre Filter].[All]" dimensionUniqueName="[Raw Data]" displayFolder="" count="0" memberValueDatatype="130" unbalanced="0"/>
    <cacheHierarchy uniqueName="[Raw Data].[Genre Sort]" caption="Genre Sort" attribute="1" defaultMemberUniqueName="[Raw Data].[Genre Sort].[All]" allUniqueName="[Raw Data].[Genre Sort].[All]" dimensionUniqueName="[Raw Data]" displayFolder="" count="0" memberValueDatatype="20" unbalanced="0"/>
    <cacheHierarchy uniqueName="[Measures].[Count of Title]" caption="Count of Title" measure="1" displayFolder="" measureGroup="Raw Data" count="0">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extLst>
        <ext xmlns:x15="http://schemas.microsoft.com/office/spreadsheetml/2010/11/main" uri="{B97F6D7D-B522-45F9-BDA1-12C45D357490}">
          <x15:cacheHierarchy aggregatedColumn="1"/>
        </ext>
      </extLst>
    </cacheHierarchy>
    <cacheHierarchy uniqueName="[Measures].[Total Books]" caption="Total Books" measure="1" displayFolder="" measureGroup="Raw Data" count="0"/>
    <cacheHierarchy uniqueName="[Measures].[Avg Stock Count]" caption="Avg Stock Count" measure="1" displayFolder="" measureGroup="Raw Data" count="0"/>
    <cacheHierarchy uniqueName="[Measures].[Avg Price]" caption="Avg Price" measure="1" displayFolder="" measureGroup="Raw Data" count="0"/>
    <cacheHierarchy uniqueName="[Measures].[AVG RATING]" caption="AVG RATING" measure="1" displayFolder="" measureGroup="Raw Data" count="0"/>
    <cacheHierarchy uniqueName="[Measures].[Median Stock Count]" caption="Median Stock Count" measure="1" displayFolder="" measureGroup="Raw Data" count="0"/>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hidden="1"/>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extLst>
    <ext xmlns:x14="http://schemas.microsoft.com/office/spreadsheetml/2009/9/main" uri="{725AE2AE-9491-48be-B2B4-4EB974FC3084}">
      <x14:pivotCacheDefinition slicerData="1" pivotCacheId="1860929618"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en" refreshedDate="46192.798878819442" backgroundQuery="1" createdVersion="3" refreshedVersion="7" minRefreshableVersion="3" recordCount="0" supportSubquery="1" supportAdvancedDrill="1" xr:uid="{8531D03B-7D54-46EB-86A4-F58958AB8822}">
  <cacheSource type="external" connectionId="3">
    <extLst>
      <ext xmlns:x14="http://schemas.microsoft.com/office/spreadsheetml/2009/9/main" uri="{F057638F-6D5F-4e77-A914-E7F072B9BCA8}">
        <x14:sourceConnection name="ThisWorkbookDataModel"/>
      </ext>
    </extLst>
  </cacheSource>
  <cacheFields count="0"/>
  <cacheHierarchies count="30">
    <cacheHierarchy uniqueName="[Raw Data].[Title]" caption="Title" attribute="1" defaultMemberUniqueName="[Raw Data].[Title].[All]" allUniqueName="[Raw Data].[Title].[All]" dimensionUniqueName="[Raw Data]" displayFolder="" count="0" memberValueDatatype="130" unbalanced="0"/>
    <cacheHierarchy uniqueName="[Raw Data].[Genre]" caption="Genre" attribute="1" defaultMemberUniqueName="[Raw Data].[Genre].[All]" allUniqueName="[Raw Data].[Genre].[All]" dimensionUniqueName="[Raw Data]" displayFolder="" count="0" memberValueDatatype="130" unbalanced="0"/>
    <cacheHierarchy uniqueName="[Raw Data].[Price (£)]" caption="Price (£)" attribute="1" defaultMemberUniqueName="[Raw Data].[Price (£)].[All]" allUniqueName="[Raw Data].[Price (£)].[All]" dimensionUniqueName="[Raw Data]" displayFolder="" count="0" memberValueDatatype="5" unbalanced="0"/>
    <cacheHierarchy uniqueName="[Raw Data].[Rating]" caption="Rating" attribute="1" defaultMemberUniqueName="[Raw Data].[Rating].[All]" allUniqueName="[Raw Data].[Rating].[All]" dimensionUniqueName="[Raw Data]" displayFolder="" count="0" memberValueDatatype="20" unbalanced="0"/>
    <cacheHierarchy uniqueName="[Raw Data].[Availability]" caption="Availability" attribute="1" defaultMemberUniqueName="[Raw Data].[Availability].[All]" allUniqueName="[Raw Data].[Availability].[All]" dimensionUniqueName="[Raw Data]" displayFolder="" count="0" memberValueDatatype="130" unbalanced="0"/>
    <cacheHierarchy uniqueName="[Raw Data].[Stock Count]" caption="Stock Count" attribute="1" defaultMemberUniqueName="[Raw Data].[Stock Count].[All]" allUniqueName="[Raw Data].[Stock Count].[All]" dimensionUniqueName="[Raw Data]" displayFolder="" count="0" memberValueDatatype="20" unbalanced="0"/>
    <cacheHierarchy uniqueName="[Raw Data].[Demand Analysis]" caption="Demand Analysis" attribute="1" defaultMemberUniqueName="[Raw Data].[Demand Analysis].[All]" allUniqueName="[Raw Data].[Demand Analysis].[All]" dimensionUniqueName="[Raw Data]" displayFolder="" count="0" memberValueDatatype="130" unbalanced="0"/>
    <cacheHierarchy uniqueName="[Raw Data].[Genre Filter]" caption="Genre Filter" attribute="1" defaultMemberUniqueName="[Raw Data].[Genre Filter].[All]" allUniqueName="[Raw Data].[Genre Filter].[All]" dimensionUniqueName="[Raw Data]" displayFolder="" count="2" memberValueDatatype="130" unbalanced="0"/>
    <cacheHierarchy uniqueName="[Raw Data].[Genre Sort]" caption="Genre Sort" attribute="1" defaultMemberUniqueName="[Raw Data].[Genre Sort].[All]" allUniqueName="[Raw Data].[Genre Sort].[All]" dimensionUniqueName="[Raw Data]" displayFolder="" count="0" memberValueDatatype="20" unbalanced="0"/>
    <cacheHierarchy uniqueName="[Measures].[Count of Title]" caption="Count of Title" measure="1" displayFolder="" measureGroup="Raw Data" count="0">
      <extLst>
        <ext xmlns:x15="http://schemas.microsoft.com/office/spreadsheetml/2010/11/main" uri="{B97F6D7D-B522-45F9-BDA1-12C45D357490}">
          <x15:cacheHierarchy aggregatedColumn="0"/>
        </ext>
      </extLst>
    </cacheHierarchy>
    <cacheHierarchy uniqueName="[Measures].[Sum of Price (£)]" caption="Sum of Price (£)" measure="1" displayFolder="" measureGroup="Raw Data" count="0">
      <extLst>
        <ext xmlns:x15="http://schemas.microsoft.com/office/spreadsheetml/2010/11/main" uri="{B97F6D7D-B522-45F9-BDA1-12C45D357490}">
          <x15:cacheHierarchy aggregatedColumn="2"/>
        </ext>
      </extLst>
    </cacheHierarchy>
    <cacheHierarchy uniqueName="[Measures].[Average of Price (£)]" caption="Average of Price (£)" measure="1" displayFolder="" measureGroup="Raw Data" count="0">
      <extLst>
        <ext xmlns:x15="http://schemas.microsoft.com/office/spreadsheetml/2010/11/main" uri="{B97F6D7D-B522-45F9-BDA1-12C45D357490}">
          <x15:cacheHierarchy aggregatedColumn="2"/>
        </ext>
      </extLst>
    </cacheHierarchy>
    <cacheHierarchy uniqueName="[Measures].[Min of Price (£)]" caption="Min of Price (£)" measure="1" displayFolder="" measureGroup="Raw Data" count="0">
      <extLst>
        <ext xmlns:x15="http://schemas.microsoft.com/office/spreadsheetml/2010/11/main" uri="{B97F6D7D-B522-45F9-BDA1-12C45D357490}">
          <x15:cacheHierarchy aggregatedColumn="2"/>
        </ext>
      </extLst>
    </cacheHierarchy>
    <cacheHierarchy uniqueName="[Measures].[Max of Price (£)]" caption="Max of Price (£)" measure="1" displayFolder="" measureGroup="Raw Data" count="0">
      <extLst>
        <ext xmlns:x15="http://schemas.microsoft.com/office/spreadsheetml/2010/11/main" uri="{B97F6D7D-B522-45F9-BDA1-12C45D357490}">
          <x15:cacheHierarchy aggregatedColumn="2"/>
        </ext>
      </extLst>
    </cacheHierarchy>
    <cacheHierarchy uniqueName="[Measures].[Count of Genre]" caption="Count of Genre" measure="1" displayFolder="" measureGroup="Raw Data" count="0">
      <extLst>
        <ext xmlns:x15="http://schemas.microsoft.com/office/spreadsheetml/2010/11/main" uri="{B97F6D7D-B522-45F9-BDA1-12C45D357490}">
          <x15:cacheHierarchy aggregatedColumn="1"/>
        </ext>
      </extLst>
    </cacheHierarchy>
    <cacheHierarchy uniqueName="[Measures].[Total Books]" caption="Total Books" measure="1" displayFolder="" measureGroup="Raw Data" count="0"/>
    <cacheHierarchy uniqueName="[Measures].[Avg Stock Count]" caption="Avg Stock Count" measure="1" displayFolder="" measureGroup="Raw Data" count="0"/>
    <cacheHierarchy uniqueName="[Measures].[Avg Price]" caption="Avg Price" measure="1" displayFolder="" measureGroup="Raw Data" count="0"/>
    <cacheHierarchy uniqueName="[Measures].[AVG RATING]" caption="AVG RATING" measure="1" displayFolder="" measureGroup="Raw Data" count="0"/>
    <cacheHierarchy uniqueName="[Measures].[Median Stock Count]" caption="Median Stock Count" measure="1" displayFolder="" measureGroup="Raw Data" count="0"/>
    <cacheHierarchy uniqueName="[Measures].[__XL_Count Raw Data]" caption="__XL_Count Raw Data" measure="1" displayFolder="" measureGroup="Raw Data" count="0" hidden="1"/>
    <cacheHierarchy uniqueName="[Measures].[__No measures defined]" caption="__No measures defined" measure="1" displayFolder="" count="0" hidden="1"/>
    <cacheHierarchy uniqueName="[Measures].[_Total Books Goal]" caption="_Total Books Goal" measure="1" displayFolder="" measureGroup="Raw Data" count="0" hidden="1"/>
    <cacheHierarchy uniqueName="[Measures].[_Total Books Status]" caption="_Total Books Status" measure="1" iconSet="6" displayFolder="" measureGroup="Raw Data" count="0" hidden="1"/>
    <cacheHierarchy uniqueName="[Measures].[_Avg Stock Count Goal]" caption="_Avg Stock Count Goal" measure="1" displayFolder="" measureGroup="Raw Data" count="0" hidden="1"/>
    <cacheHierarchy uniqueName="[Measures].[_Avg Stock Count Status]" caption="_Avg Stock Count Status" measure="1" iconSet="6" displayFolder="" measureGroup="Raw Data" count="0" hidden="1"/>
    <cacheHierarchy uniqueName="[Measures].[_Avg Price Goal]" caption="_Avg Price Goal" measure="1" displayFolder="" measureGroup="Raw Data" count="0" hidden="1"/>
    <cacheHierarchy uniqueName="[Measures].[_Avg Price Status]" caption="_Avg Price Status" measure="1" iconSet="6" displayFolder="" measureGroup="Raw Data" count="0" hidden="1"/>
    <cacheHierarchy uniqueName="[Measures].[_AVG RATING Goal]" caption="_AVG RATING Goal" measure="1" displayFolder="" measureGroup="Raw Data" count="0" hidden="1"/>
    <cacheHierarchy uniqueName="[Measures].[_AVG RATING Status]" caption="_AVG RATING Status" measure="1" iconSet="6" displayFolder="" measureGroup="Raw Data" count="0" hidden="1"/>
  </cacheHierarchies>
  <kpis count="4">
    <kpi uniqueName="Total Books" caption="Total Books" displayFolder="" measureGroup="Raw Data" parent="" value="[Measures].[Total Books]" goal="[Measures].[_Total Books Goal]" status="[Measures].[_Total Books Status]" trend="" weight=""/>
    <kpi uniqueName="Avg Stock Count" caption="Avg Stock Count" displayFolder="" measureGroup="Raw Data" parent="" value="[Measures].[Avg Stock Count]" goal="[Measures].[_Avg Stock Count Goal]" status="[Measures].[_Avg Stock Count Status]" trend="" weight=""/>
    <kpi uniqueName="Avg Price" caption="Avg Price" displayFolder="" measureGroup="Raw Data" parent="" value="[Measures].[Avg Price]" goal="[Measures].[_Avg Price Goal]" status="[Measures].[_Avg Price Status]" trend="" weight=""/>
    <kpi uniqueName="AVG RATING" caption="AVG RATING" displayFolder="" measureGroup="Raw Data" parent="" value="[Measures].[AVG RATING]" goal="[Measures].[_AVG RATING Goal]" status="[Measures].[_AVG RATING Status]" trend="" weight=""/>
  </kpis>
  <extLst>
    <ext xmlns:x14="http://schemas.microsoft.com/office/spreadsheetml/2009/9/main" uri="{725AE2AE-9491-48be-B2B4-4EB974FC3084}">
      <x14:pivotCacheDefinition slicerData="1" pivotCacheId="120190287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78E626-9727-4667-8809-F5C08B6B913E}" name="PivotTable8" cacheId="579"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 rowHeaderCaption="Demand Category">
  <location ref="AG3:AH7"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4">
    <i>
      <x/>
    </i>
    <i>
      <x v="1"/>
    </i>
    <i>
      <x v="2"/>
    </i>
    <i>
      <x v="3"/>
    </i>
  </rowItems>
  <colItems count="1">
    <i/>
  </colItems>
  <dataFields count="1">
    <dataField name="Number of Books" fld="1" subtotal="count" baseField="0" baseItem="0"/>
  </dataField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0" count="1" selected="0">
            <x v="0"/>
          </reference>
        </references>
      </pivotArea>
    </chartFormat>
    <chartFormat chart="2" format="8">
      <pivotArea type="data" outline="0" fieldPosition="0">
        <references count="2">
          <reference field="4294967294" count="1" selected="0">
            <x v="0"/>
          </reference>
          <reference field="0" count="1" selected="0">
            <x v="1"/>
          </reference>
        </references>
      </pivotArea>
    </chartFormat>
    <chartFormat chart="2" format="9">
      <pivotArea type="data" outline="0" fieldPosition="0">
        <references count="2">
          <reference field="4294967294" count="1" selected="0">
            <x v="0"/>
          </reference>
          <reference field="0" count="1" selected="0">
            <x v="2"/>
          </reference>
        </references>
      </pivotArea>
    </chartFormat>
    <chartFormat chart="2" format="10">
      <pivotArea type="data" outline="0" fieldPosition="0">
        <references count="2">
          <reference field="4294967294" count="1" selected="0">
            <x v="0"/>
          </reference>
          <reference field="0" count="1" selected="0">
            <x v="3"/>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Number of Books"/>
    <pivotHierarchy dragToData="1"/>
    <pivotHierarchy dragToData="1"/>
    <pivotHierarchy dragToData="1"/>
    <pivotHierarchy dragToData="1"/>
    <pivotHierarchy dragToData="1"/>
    <pivotHierarchy dragToData="1"/>
    <pivotHierarchy dragToRow="0" dragToCol="0" dragToPage="0" dragOff="0"/>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F6A32A-DA25-4739-A3FE-72B258ECFCD2}" name="PivotTable7" cacheId="1" applyNumberFormats="0" applyBorderFormats="0" applyFontFormats="0" applyPatternFormats="0" applyAlignmentFormats="0" applyWidthHeightFormats="1" dataCaption="Values" tag="e253ccfc-5d8d-4980-9d12-e794f9a09713" updatedVersion="7" minRefreshableVersion="3" useAutoFormatting="1" subtotalHiddenItems="1" itemPrintTitles="1" createdVersion="7" indent="0" outline="1" outlineData="1" multipleFieldFilters="0">
  <location ref="AO8:AP9" firstHeaderRow="0" firstDataRow="1" firstDataCol="0"/>
  <pivotFields count="2">
    <pivotField dataField="1" subtotalTop="0" showAll="0" defaultSubtotal="0"/>
    <pivotField dataField="1" subtotalTop="0" showAll="0" defaultSubtotal="0"/>
  </pivotFields>
  <rowItems count="1">
    <i/>
  </rowItems>
  <colFields count="1">
    <field x="-2"/>
  </colFields>
  <colItems count="2">
    <i>
      <x/>
    </i>
    <i i="1">
      <x v="1"/>
    </i>
  </colItems>
  <dataFields count="2">
    <dataField name="Distinct Count of Genre" fld="1" subtotal="count" baseField="0" baseItem="0">
      <extLst>
        <ext xmlns:x15="http://schemas.microsoft.com/office/spreadsheetml/2010/11/main" uri="{FABC7310-3BB5-11E1-824E-6D434824019B}">
          <x15:dataField isCountDistinct="1"/>
        </ext>
      </extLst>
    </dataField>
    <dataField name="Median Stock" fld="0" subtotal="count" baseField="0" baseItem="0"/>
  </dataFields>
  <pivotHierarchies count="35">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Median Stoc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Genres"/>
    <pivotHierarchy dragToData="1" caption="Distinct Count of Genre"/>
    <pivotHierarchy dragToRow="0" dragToCol="0" dragToPage="0" dragOff="0"/>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w Data]"/>
        <x15:activeTabTopLevelEntity name="Raw_Data__5" typ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9858179-21CD-4390-AD39-46975043176B}" name="PivotTable2" cacheId="628" applyNumberFormats="0" applyBorderFormats="0" applyFontFormats="0" applyPatternFormats="0" applyAlignmentFormats="0" applyWidthHeightFormats="1" dataCaption="Values" tag="68884b7e-0f24-42d5-ba41-37b456d44fdd" updatedVersion="7" minRefreshableVersion="3" useAutoFormatting="1" subtotalHiddenItems="1" rowGrandTotals="0" colGrandTotals="0" itemPrintTitles="1" createdVersion="7" indent="0" outline="1" outlineData="1" multipleFieldFilters="0" rowHeaderCaption="Genre">
  <location ref="O3:R33" firstHeaderRow="0" firstDataRow="1" firstDataCol="1"/>
  <pivotFields count="5">
    <pivotField axis="axisRow" allDrilled="1" subtotalTop="0" showAll="0"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0">
    <i>
      <x/>
    </i>
    <i>
      <x v="26"/>
    </i>
    <i>
      <x v="4"/>
    </i>
    <i>
      <x v="17"/>
    </i>
    <i>
      <x v="25"/>
    </i>
    <i>
      <x v="9"/>
    </i>
    <i>
      <x v="11"/>
    </i>
    <i>
      <x v="27"/>
    </i>
    <i>
      <x v="19"/>
    </i>
    <i>
      <x v="21"/>
    </i>
    <i>
      <x v="24"/>
    </i>
    <i>
      <x v="28"/>
    </i>
    <i>
      <x v="10"/>
    </i>
    <i>
      <x v="15"/>
    </i>
    <i>
      <x v="18"/>
    </i>
    <i>
      <x v="22"/>
    </i>
    <i>
      <x v="14"/>
    </i>
    <i>
      <x v="1"/>
    </i>
    <i>
      <x v="6"/>
    </i>
    <i>
      <x v="2"/>
    </i>
    <i>
      <x v="16"/>
    </i>
    <i>
      <x v="5"/>
    </i>
    <i>
      <x v="12"/>
    </i>
    <i>
      <x v="20"/>
    </i>
    <i>
      <x v="8"/>
    </i>
    <i>
      <x v="3"/>
    </i>
    <i>
      <x v="7"/>
    </i>
    <i>
      <x v="13"/>
    </i>
    <i>
      <x v="29"/>
    </i>
    <i>
      <x v="23"/>
    </i>
  </rowItems>
  <colFields count="1">
    <field x="-2"/>
  </colFields>
  <colItems count="3">
    <i>
      <x/>
    </i>
    <i i="1">
      <x v="1"/>
    </i>
    <i i="2">
      <x v="2"/>
    </i>
  </colItems>
  <dataFields count="3">
    <dataField name="Average Price (£)" fld="1" subtotal="average" baseField="0" baseItem="0"/>
    <dataField name="Min Price (£)" fld="3" subtotal="min" baseField="0" baseItem="0"/>
    <dataField name="Max Price (£)" fld="2" subtotal="max" baseField="0" baseItem="0"/>
  </dataFields>
  <pivotHierarchies count="3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caption="Average Price (£)"/>
    <pivotHierarchy dragToData="1" caption="Min Price (£)"/>
    <pivotHierarchy dragToData="1" caption="Max Price (£)"/>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42EE1F9-A198-4E7B-A87A-3B6FCCFD8DCB}" name="PivotTable1" cacheId="625" applyNumberFormats="0" applyBorderFormats="0" applyFontFormats="0" applyPatternFormats="0" applyAlignmentFormats="0" applyWidthHeightFormats="1" dataCaption="Values" tag="9f83cdb1-16af-44ad-8b19-af53cc236aca" updatedVersion="7" minRefreshableVersion="3" useAutoFormatting="1" subtotalHiddenItems="1" rowGrandTotals="0" colGrandTotals="0" itemPrintTitles="1" createdVersion="7" indent="0" outline="1" outlineData="1" multipleFieldFilters="0" rowHeaderCaption="Genre">
  <location ref="E4:F34" firstHeaderRow="1" firstDataRow="1" firstDataCol="1"/>
  <pivotFields count="3">
    <pivotField axis="axisRow" allDrilled="1" subtotalTop="0" showAll="0"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30">
    <i>
      <x v="28"/>
    </i>
    <i>
      <x v="13"/>
    </i>
    <i>
      <x v="19"/>
    </i>
    <i>
      <x v="24"/>
    </i>
    <i>
      <x v="17"/>
    </i>
    <i>
      <x v="14"/>
    </i>
    <i>
      <x v="16"/>
    </i>
    <i>
      <x v="18"/>
    </i>
    <i>
      <x v="4"/>
    </i>
    <i>
      <x v="7"/>
    </i>
    <i>
      <x v="22"/>
    </i>
    <i>
      <x v="1"/>
    </i>
    <i>
      <x v="23"/>
    </i>
    <i>
      <x v="15"/>
    </i>
    <i>
      <x v="10"/>
    </i>
    <i>
      <x v="25"/>
    </i>
    <i>
      <x v="9"/>
    </i>
    <i>
      <x v="6"/>
    </i>
    <i>
      <x v="11"/>
    </i>
    <i>
      <x v="3"/>
    </i>
    <i>
      <x v="2"/>
    </i>
    <i>
      <x v="21"/>
    </i>
    <i>
      <x v="12"/>
    </i>
    <i>
      <x v="20"/>
    </i>
    <i>
      <x v="26"/>
    </i>
    <i>
      <x v="29"/>
    </i>
    <i>
      <x v="5"/>
    </i>
    <i>
      <x v="8"/>
    </i>
    <i>
      <x/>
    </i>
    <i>
      <x v="27"/>
    </i>
  </rowItems>
  <colItems count="1">
    <i/>
  </colItems>
  <dataFields count="1">
    <dataField name="Number of Books" fld="1" subtotal="count" baseField="0" baseItem="0"/>
  </dataFields>
  <pivotHierarchies count="3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caption="Number of Books"/>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5139BDF-695D-4AF0-B008-799E85C502CE}" name="PivotTable4" cacheId="549" applyNumberFormats="0" applyBorderFormats="0" applyFontFormats="0" applyPatternFormats="0" applyAlignmentFormats="0" applyWidthHeightFormats="1" dataCaption="Values" tag="7dfc955f-39c2-4c1d-a842-9b67352299e6" updatedVersion="7" minRefreshableVersion="3" useAutoFormatting="1" subtotalHiddenItems="1" itemPrintTitles="1" createdVersion="7" indent="0" outline="1" outlineData="1" multipleFieldFilters="0">
  <location ref="AO4:AS5"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name="Total Books" fld="0" subtotal="count" baseField="0" baseItem="0" numFmtId="3"/>
    <dataField name="Avg Stock Count" fld="1" subtotal="count" baseField="0" baseItem="0" numFmtId="165"/>
    <dataField name="Avg Price" fld="2" subtotal="count" baseField="0" baseItem="0" numFmtId="166"/>
    <dataField name="AVG RATING" fld="3" subtotal="count" baseField="0" baseItem="0" numFmtId="2"/>
    <dataField name="AVG RATING Status" fld="4" subtotal="count" baseField="0" baseItem="0"/>
  </dataFields>
  <formats count="4">
    <format dxfId="3">
      <pivotArea outline="0" collapsedLevelsAreSubtotals="1" fieldPosition="0">
        <references count="1">
          <reference field="4294967294" count="1" selected="0">
            <x v="3"/>
          </reference>
        </references>
      </pivotArea>
    </format>
    <format dxfId="2">
      <pivotArea outline="0" collapsedLevelsAreSubtotals="1" fieldPosition="0">
        <references count="1">
          <reference field="4294967294" count="1" selected="0">
            <x v="0"/>
          </reference>
        </references>
      </pivotArea>
    </format>
    <format dxfId="1">
      <pivotArea outline="0" collapsedLevelsAreSubtotals="1" fieldPosition="0">
        <references count="1">
          <reference field="4294967294" count="1" selected="0">
            <x v="1"/>
          </reference>
        </references>
      </pivotArea>
    </format>
    <format dxfId="0">
      <pivotArea outline="0" collapsedLevelsAreSubtotals="1" fieldPosition="0">
        <references count="1">
          <reference field="4294967294" count="1" selected="0">
            <x v="2"/>
          </reference>
        </references>
      </pivotArea>
    </format>
  </formats>
  <conditionalFormats count="1">
    <conditionalFormat scope="data" priority="1">
      <pivotAreas count="1">
        <pivotArea outline="0" fieldPosition="0">
          <references count="1">
            <reference field="4294967294" count="1" selected="0">
              <x v="4"/>
            </reference>
          </references>
        </pivotArea>
      </pivotAreas>
    </conditionalFormat>
  </conditionalFormats>
  <pivotHierarchies count="3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Raw Data">
        <x15:activeTabTopLevelEntity name="[Raw Data]"/>
        <x15:activeTabTopLevelEntity name="Raw_Data__5" typ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C93AD04-479F-46CE-8105-7B7A9D98ACA4}" name="PivotTable6" cacheId="552"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7" indent="0" outline="1" outlineData="1" multipleFieldFilters="0" rowHeaderCaption="Genre">
  <location ref="AD5:AE35" firstHeaderRow="1" firstDataRow="1" firstDataCol="1" rowPageCount="1" colPageCount="1"/>
  <pivotFields count="3">
    <pivotField axis="axisRow" allDrilled="1" subtotalTop="0" showAll="0"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name="Demand Category" axis="axisPage" allDrilled="1" subtotalTop="0" showAll="0" dataSourceSort="1" defaultSubtotal="0" defaultAttributeDrillState="1"/>
  </pivotFields>
  <rowFields count="1">
    <field x="0"/>
  </rowFields>
  <rowItems count="30">
    <i>
      <x v="28"/>
    </i>
    <i>
      <x v="19"/>
    </i>
    <i>
      <x v="4"/>
    </i>
    <i>
      <x v="16"/>
    </i>
    <i>
      <x v="18"/>
    </i>
    <i>
      <x v="15"/>
    </i>
    <i>
      <x v="25"/>
    </i>
    <i>
      <x v="9"/>
    </i>
    <i>
      <x v="3"/>
    </i>
    <i>
      <x v="17"/>
    </i>
    <i>
      <x v="13"/>
    </i>
    <i>
      <x v="23"/>
    </i>
    <i>
      <x v="26"/>
    </i>
    <i>
      <x v="7"/>
    </i>
    <i>
      <x v="22"/>
    </i>
    <i>
      <x v="14"/>
    </i>
    <i>
      <x v="10"/>
    </i>
    <i>
      <x v="5"/>
    </i>
    <i>
      <x v="21"/>
    </i>
    <i>
      <x v="24"/>
    </i>
    <i>
      <x v="6"/>
    </i>
    <i>
      <x v="20"/>
    </i>
    <i>
      <x v="1"/>
    </i>
    <i>
      <x v="12"/>
    </i>
    <i>
      <x v="11"/>
    </i>
    <i>
      <x v="2"/>
    </i>
    <i>
      <x/>
    </i>
    <i>
      <x v="29"/>
    </i>
    <i>
      <x v="8"/>
    </i>
    <i>
      <x v="27"/>
    </i>
  </rowItems>
  <colItems count="1">
    <i/>
  </colItems>
  <pageFields count="1">
    <pageField fld="2" hier="6" name="[Raw Data].[Demand Analysis].&amp;[Demand Gap]" cap="Demand Gap"/>
  </pageFields>
  <dataFields count="1">
    <dataField name="Number of Books" fld="1" subtotal="count" baseField="0" baseItem="0"/>
  </dataFields>
  <pivotHierarchies count="34">
    <pivotHierarchy dragToData="1"/>
    <pivotHierarchy dragToData="1"/>
    <pivotHierarchy dragToData="1"/>
    <pivotHierarchy dragToData="1"/>
    <pivotHierarchy dragToData="1"/>
    <pivotHierarchy dragToData="1"/>
    <pivotHierarchy multipleItemSelectionAllowed="1" dragToData="1">
      <members count="1" level="1">
        <member name="[Raw Data].[Demand Analysis].&amp;[Demand Gap]"/>
      </members>
    </pivotHierarchy>
    <pivotHierarchy dragToData="1"/>
    <pivotHierarchy dragToData="1"/>
    <pivotHierarchy dragToData="1" caption="Number of Books"/>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w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5FC5AC5-B675-41E5-A339-FE4A0ADDE43C}" name="PivotTable3" cacheId="622" applyNumberFormats="0" applyBorderFormats="0" applyFontFormats="0" applyPatternFormats="0" applyAlignmentFormats="0" applyWidthHeightFormats="1" dataCaption="Values" tag="c7d12bbd-9fce-498b-8759-208f5e7731fa" updatedVersion="7" minRefreshableVersion="3" useAutoFormatting="1" subtotalHiddenItems="1" rowGrandTotals="0" colGrandTotals="0" itemPrintTitles="1" createdVersion="7" indent="0" outline="1" outlineData="1" multipleFieldFilters="0" rowHeaderCaption="Demand Category">
  <location ref="Y3:Z7"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4">
    <i>
      <x/>
    </i>
    <i>
      <x v="1"/>
    </i>
    <i>
      <x v="2"/>
    </i>
    <i>
      <x v="3"/>
    </i>
  </rowItems>
  <colItems count="1">
    <i/>
  </colItems>
  <dataFields count="1">
    <dataField name="Number of Books" fld="1" subtotal="count" baseField="0" baseItem="0"/>
  </dataFields>
  <pivotHierarchies count="34">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caption="Number of Books"/>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w 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3D25303D-7CA2-47BB-AAE6-B4C8BFAC750E}" autoFormatId="16" applyNumberFormats="0" applyBorderFormats="0" applyFontFormats="0" applyPatternFormats="0" applyAlignmentFormats="0" applyWidthHeightFormats="0">
  <queryTableRefresh nextId="13">
    <queryTableFields count="9">
      <queryTableField id="1" name="Title" tableColumnId="1"/>
      <queryTableField id="2" name="Genre" tableColumnId="2"/>
      <queryTableField id="3" name="Price (£)" tableColumnId="3"/>
      <queryTableField id="4" name="Rating" tableColumnId="4"/>
      <queryTableField id="5" name="Availability" tableColumnId="5"/>
      <queryTableField id="6" name="Stock Count" tableColumnId="6"/>
      <queryTableField id="7" name="Demand Analysis" tableColumnId="7"/>
      <queryTableField id="11" name="Column8" tableColumnId="9"/>
      <queryTableField id="12" name="Column9" tableColumnId="10"/>
    </queryTableFields>
    <queryTableDeletedFields count="2">
      <deletedField name="Column8"/>
      <deletedField name="Column9"/>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re_Filter" xr10:uid="{9C0F75A4-253E-44C0-B288-1729EF74BD6B}" sourceName="[Raw Data].[Genre Filter]">
  <pivotTables>
    <pivotTable tabId="1" name="PivotTable4"/>
  </pivotTables>
  <data>
    <olap pivotCacheId="1201902879">
      <levels count="2">
        <level uniqueName="[Raw Data].[Genre Filter].[(All)]" sourceCaption="(All)" count="0"/>
        <level uniqueName="[Raw Data].[Genre Filter].[Genre Filter]" sourceCaption="Genre Filter" count="7">
          <ranges>
            <range startItem="0">
              <i n="[Raw Data].[Genre Filter].&amp;[Womens Fiction]" c="Womens Fiction"/>
              <i n="[Raw Data].[Genre Filter].&amp;[Music]" c="Music"/>
              <i n="[Raw Data].[Genre Filter].&amp;[Romance]" c="Romance"/>
              <i n="[Raw Data].[Genre Filter].&amp;[Academic]" c="Academic"/>
              <i n="[Raw Data].[Genre Filter].&amp;[Thriller]" c="Thriller"/>
              <i n="[Raw Data].[Genre Filter].&amp;[Poetry]" c="Poetry"/>
              <i n="[Raw Data].[Genre Filter].&amp;[+24 More]" c="+24 More"/>
            </range>
          </ranges>
        </level>
      </levels>
      <selections count="1">
        <selection n="[Raw Data].[Genre Filte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mand_Analysis" xr10:uid="{B114B18D-5BB0-44C7-A8F6-A1C8E08053BD}" sourceName="[Raw Data].[Demand Analysis]">
  <pivotTables>
    <pivotTable tabId="1" name="PivotTable3"/>
    <pivotTable tabId="1" name="PivotTable1"/>
    <pivotTable tabId="1" name="PivotTable2"/>
  </pivotTables>
  <data>
    <olap pivotCacheId="1860929618">
      <levels count="2">
        <level uniqueName="[Raw Data].[Demand Analysis].[(All)]" sourceCaption="(All)" count="0"/>
        <level uniqueName="[Raw Data].[Demand Analysis].[Demand Analysis]" sourceCaption="Demand Analysis" count="4">
          <ranges>
            <range startItem="0">
              <i n="[Raw Data].[Demand Analysis].&amp;[Demand Gap]" c="Demand Gap"/>
              <i n="[Raw Data].[Demand Analysis].&amp;[Low Priority]" c="Low Priority"/>
              <i n="[Raw Data].[Demand Analysis].&amp;[Review Pricing]" c="Review Pricing"/>
              <i n="[Raw Data].[Demand Analysis].&amp;[Well Supplied]" c="Well Supplied"/>
            </range>
          </ranges>
        </level>
      </levels>
      <selections count="1">
        <selection n="[Raw Data].[Demand Analysi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re Filter 1" xr10:uid="{69C8BCEE-6E38-45A9-AA3F-ED591C280195}" cache="Slicer_Genre_Filter" caption="Genre Filter" columnCount="7" showCaption="0" level="1" style="Custom_Pill_Style" rowHeight="180000"/>
  <slicer name="Demand Analysis" xr10:uid="{485390C9-43BA-49E6-AFD4-4A2DD7C34B32}" cache="Slicer_Demand_Analysis" caption="Demand Analysis" columnCount="4" showCaption="0" level="1" style="Custom_Pill_Style" rowHeight="216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23E219-4B1F-44D4-B9F3-52B68EB8CEC0}" name="Raw_Data__5" displayName="Raw_Data__5" ref="A1:I1001" tableType="queryTable" totalsRowShown="0">
  <autoFilter ref="A1:I1001" xr:uid="{6F23E219-4B1F-44D4-B9F3-52B68EB8CEC0}"/>
  <tableColumns count="9">
    <tableColumn id="1" xr3:uid="{BEF0B5B2-841F-403A-8D54-0A3FECA4BE12}" uniqueName="1" name="Title" queryTableFieldId="1" dataDxfId="7"/>
    <tableColumn id="2" xr3:uid="{B068E4B3-8FAB-4628-9E10-262CFF0A6877}" uniqueName="2" name="Genre" queryTableFieldId="2" dataDxfId="6"/>
    <tableColumn id="3" xr3:uid="{C50E4AA8-1E1E-4385-947F-4E439D1F19B1}" uniqueName="3" name="Price (£)" queryTableFieldId="3"/>
    <tableColumn id="4" xr3:uid="{1F3DA7B2-86C0-4E5B-B6FB-ACC42F9A24BB}" uniqueName="4" name="Rating" queryTableFieldId="4"/>
    <tableColumn id="5" xr3:uid="{21A8A810-83A5-445B-BA1B-46A492DC5B57}" uniqueName="5" name="Availability" queryTableFieldId="5" dataDxfId="5"/>
    <tableColumn id="6" xr3:uid="{273ADD40-2C08-4121-8867-B09BD7F88A6F}" uniqueName="6" name="Stock Count" queryTableFieldId="6"/>
    <tableColumn id="7" xr3:uid="{A129BA38-BAB8-46A6-BE49-246FB15BE111}" uniqueName="7" name="Demand Analysis" queryTableFieldId="7" dataDxfId="4"/>
    <tableColumn id="9" xr3:uid="{5067F46C-A2C9-4740-B935-039495F8A864}" uniqueName="9" name="Column8" queryTableFieldId="11"/>
    <tableColumn id="10" xr3:uid="{71C9E545-56EE-4165-A91D-A9CEF7975BAD}" uniqueName="10" name="Column9" queryTableFieldId="1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AA567-145D-4CFC-A038-A9774109A4E3}">
  <sheetPr codeName="Sheet1"/>
  <dimension ref="A1:I1001"/>
  <sheetViews>
    <sheetView topLeftCell="A17" workbookViewId="0">
      <selection activeCell="E12" sqref="E12"/>
    </sheetView>
  </sheetViews>
  <sheetFormatPr defaultRowHeight="14.5" x14ac:dyDescent="0.35"/>
  <cols>
    <col min="1" max="1" width="35.54296875" bestFit="1" customWidth="1"/>
    <col min="2" max="2" width="14.54296875" bestFit="1" customWidth="1"/>
    <col min="3" max="3" width="9.90625" bestFit="1" customWidth="1"/>
    <col min="4" max="4" width="8.36328125" bestFit="1" customWidth="1"/>
    <col min="5" max="5" width="16.26953125" bestFit="1" customWidth="1"/>
    <col min="6" max="6" width="13.1796875" bestFit="1" customWidth="1"/>
    <col min="7" max="7" width="17.453125" bestFit="1" customWidth="1"/>
    <col min="8" max="9" width="10.54296875" bestFit="1" customWidth="1"/>
  </cols>
  <sheetData>
    <row r="1" spans="1:9" x14ac:dyDescent="0.35">
      <c r="A1" t="s">
        <v>45</v>
      </c>
      <c r="B1" t="s">
        <v>0</v>
      </c>
      <c r="C1" t="s">
        <v>46</v>
      </c>
      <c r="D1" t="s">
        <v>47</v>
      </c>
      <c r="E1" t="s">
        <v>48</v>
      </c>
      <c r="F1" t="s">
        <v>49</v>
      </c>
      <c r="G1" t="s">
        <v>44</v>
      </c>
      <c r="H1" t="s">
        <v>722</v>
      </c>
      <c r="I1" t="s">
        <v>723</v>
      </c>
    </row>
    <row r="2" spans="1:9" x14ac:dyDescent="0.35">
      <c r="A2" s="1" t="s">
        <v>50</v>
      </c>
      <c r="B2" s="1" t="s">
        <v>1</v>
      </c>
      <c r="C2">
        <v>27.58</v>
      </c>
      <c r="D2">
        <v>4</v>
      </c>
      <c r="E2" s="1" t="s">
        <v>51</v>
      </c>
      <c r="F2">
        <v>8</v>
      </c>
      <c r="G2" s="1" t="s">
        <v>40</v>
      </c>
    </row>
    <row r="3" spans="1:9" x14ac:dyDescent="0.35">
      <c r="A3" s="1" t="s">
        <v>52</v>
      </c>
      <c r="B3" s="1" t="s">
        <v>2</v>
      </c>
      <c r="C3">
        <v>19.149999999999999</v>
      </c>
      <c r="D3">
        <v>5</v>
      </c>
      <c r="E3" s="1" t="s">
        <v>51</v>
      </c>
      <c r="F3">
        <v>10</v>
      </c>
      <c r="G3" s="1" t="s">
        <v>40</v>
      </c>
    </row>
    <row r="4" spans="1:9" x14ac:dyDescent="0.35">
      <c r="A4" s="1" t="s">
        <v>53</v>
      </c>
      <c r="B4" s="1" t="s">
        <v>3</v>
      </c>
      <c r="C4">
        <v>59.96</v>
      </c>
      <c r="D4">
        <v>4</v>
      </c>
      <c r="E4" s="1" t="s">
        <v>51</v>
      </c>
      <c r="F4">
        <v>2</v>
      </c>
      <c r="G4" s="1" t="s">
        <v>40</v>
      </c>
    </row>
    <row r="5" spans="1:9" x14ac:dyDescent="0.35">
      <c r="A5" s="1" t="s">
        <v>54</v>
      </c>
      <c r="B5" s="1" t="s">
        <v>4</v>
      </c>
      <c r="C5">
        <v>56.76</v>
      </c>
      <c r="D5">
        <v>5</v>
      </c>
      <c r="E5" s="1" t="s">
        <v>51</v>
      </c>
      <c r="F5">
        <v>15</v>
      </c>
      <c r="G5" s="1" t="s">
        <v>43</v>
      </c>
    </row>
    <row r="6" spans="1:9" x14ac:dyDescent="0.35">
      <c r="A6" s="1" t="s">
        <v>55</v>
      </c>
      <c r="B6" s="1" t="s">
        <v>5</v>
      </c>
      <c r="C6">
        <v>55.72</v>
      </c>
      <c r="D6">
        <v>4</v>
      </c>
      <c r="E6" s="1" t="s">
        <v>51</v>
      </c>
      <c r="F6">
        <v>4</v>
      </c>
      <c r="G6" s="1" t="s">
        <v>40</v>
      </c>
    </row>
    <row r="7" spans="1:9" x14ac:dyDescent="0.35">
      <c r="A7" s="1" t="s">
        <v>55</v>
      </c>
      <c r="B7" s="1" t="s">
        <v>1</v>
      </c>
      <c r="C7">
        <v>50.24</v>
      </c>
      <c r="D7">
        <v>5</v>
      </c>
      <c r="E7" s="1" t="s">
        <v>51</v>
      </c>
      <c r="F7">
        <v>18</v>
      </c>
      <c r="G7" s="1" t="s">
        <v>43</v>
      </c>
    </row>
    <row r="8" spans="1:9" x14ac:dyDescent="0.35">
      <c r="A8" s="1" t="s">
        <v>56</v>
      </c>
      <c r="B8" s="1" t="s">
        <v>6</v>
      </c>
      <c r="C8">
        <v>9.77</v>
      </c>
      <c r="D8">
        <v>4</v>
      </c>
      <c r="E8" s="1" t="s">
        <v>51</v>
      </c>
      <c r="F8">
        <v>18</v>
      </c>
      <c r="G8" s="1" t="s">
        <v>43</v>
      </c>
    </row>
    <row r="9" spans="1:9" x14ac:dyDescent="0.35">
      <c r="A9" s="1" t="s">
        <v>57</v>
      </c>
      <c r="B9" s="1" t="s">
        <v>5</v>
      </c>
      <c r="C9">
        <v>30.22</v>
      </c>
      <c r="D9">
        <v>1</v>
      </c>
      <c r="E9" s="1" t="s">
        <v>51</v>
      </c>
      <c r="F9">
        <v>19</v>
      </c>
      <c r="G9" s="1" t="s">
        <v>42</v>
      </c>
    </row>
    <row r="10" spans="1:9" x14ac:dyDescent="0.35">
      <c r="A10" s="1" t="s">
        <v>58</v>
      </c>
      <c r="B10" s="1" t="s">
        <v>4</v>
      </c>
      <c r="C10">
        <v>51.69</v>
      </c>
      <c r="D10">
        <v>4</v>
      </c>
      <c r="E10" s="1" t="s">
        <v>51</v>
      </c>
      <c r="F10">
        <v>16</v>
      </c>
      <c r="G10" s="1" t="s">
        <v>43</v>
      </c>
    </row>
    <row r="11" spans="1:9" x14ac:dyDescent="0.35">
      <c r="A11" s="1" t="s">
        <v>59</v>
      </c>
      <c r="B11" s="1" t="s">
        <v>7</v>
      </c>
      <c r="C11">
        <v>22.15</v>
      </c>
      <c r="D11">
        <v>4</v>
      </c>
      <c r="E11" s="1" t="s">
        <v>51</v>
      </c>
      <c r="F11">
        <v>14</v>
      </c>
      <c r="G11" s="1" t="s">
        <v>43</v>
      </c>
    </row>
    <row r="12" spans="1:9" x14ac:dyDescent="0.35">
      <c r="A12" s="1" t="s">
        <v>60</v>
      </c>
      <c r="B12" s="1" t="s">
        <v>8</v>
      </c>
      <c r="C12">
        <v>5.36</v>
      </c>
      <c r="D12">
        <v>5</v>
      </c>
      <c r="E12" s="1" t="s">
        <v>61</v>
      </c>
      <c r="F12">
        <v>0</v>
      </c>
      <c r="G12" s="1" t="s">
        <v>40</v>
      </c>
    </row>
    <row r="13" spans="1:9" x14ac:dyDescent="0.35">
      <c r="A13" s="1" t="s">
        <v>62</v>
      </c>
      <c r="B13" s="1" t="s">
        <v>6</v>
      </c>
      <c r="C13">
        <v>41.46</v>
      </c>
      <c r="D13">
        <v>5</v>
      </c>
      <c r="E13" s="1" t="s">
        <v>51</v>
      </c>
      <c r="F13">
        <v>20</v>
      </c>
      <c r="G13" s="1" t="s">
        <v>43</v>
      </c>
    </row>
    <row r="14" spans="1:9" x14ac:dyDescent="0.35">
      <c r="A14" s="1" t="s">
        <v>63</v>
      </c>
      <c r="B14" s="1" t="s">
        <v>2</v>
      </c>
      <c r="C14">
        <v>27</v>
      </c>
      <c r="D14">
        <v>4</v>
      </c>
      <c r="E14" s="1" t="s">
        <v>51</v>
      </c>
      <c r="F14">
        <v>3</v>
      </c>
      <c r="G14" s="1" t="s">
        <v>40</v>
      </c>
    </row>
    <row r="15" spans="1:9" x14ac:dyDescent="0.35">
      <c r="A15" s="1" t="s">
        <v>64</v>
      </c>
      <c r="B15" s="1" t="s">
        <v>9</v>
      </c>
      <c r="C15">
        <v>57.8</v>
      </c>
      <c r="D15">
        <v>2</v>
      </c>
      <c r="E15" s="1" t="s">
        <v>61</v>
      </c>
      <c r="F15">
        <v>0</v>
      </c>
      <c r="G15" s="1" t="s">
        <v>41</v>
      </c>
    </row>
    <row r="16" spans="1:9" x14ac:dyDescent="0.35">
      <c r="A16" s="1" t="s">
        <v>65</v>
      </c>
      <c r="B16" s="1" t="s">
        <v>10</v>
      </c>
      <c r="C16">
        <v>28.81</v>
      </c>
      <c r="D16">
        <v>4</v>
      </c>
      <c r="E16" s="1" t="s">
        <v>61</v>
      </c>
      <c r="F16">
        <v>0</v>
      </c>
      <c r="G16" s="1" t="s">
        <v>40</v>
      </c>
    </row>
    <row r="17" spans="1:7" x14ac:dyDescent="0.35">
      <c r="A17" s="1" t="s">
        <v>66</v>
      </c>
      <c r="B17" s="1" t="s">
        <v>11</v>
      </c>
      <c r="C17">
        <v>42.09</v>
      </c>
      <c r="D17">
        <v>4</v>
      </c>
      <c r="E17" s="1" t="s">
        <v>51</v>
      </c>
      <c r="F17">
        <v>5</v>
      </c>
      <c r="G17" s="1" t="s">
        <v>40</v>
      </c>
    </row>
    <row r="18" spans="1:7" x14ac:dyDescent="0.35">
      <c r="A18" s="1" t="s">
        <v>67</v>
      </c>
      <c r="B18" s="1" t="s">
        <v>12</v>
      </c>
      <c r="C18">
        <v>12.2</v>
      </c>
      <c r="D18">
        <v>2</v>
      </c>
      <c r="E18" s="1" t="s">
        <v>68</v>
      </c>
      <c r="F18">
        <v>15</v>
      </c>
      <c r="G18" s="1" t="s">
        <v>42</v>
      </c>
    </row>
    <row r="19" spans="1:7" x14ac:dyDescent="0.35">
      <c r="A19" s="1" t="s">
        <v>69</v>
      </c>
      <c r="B19" s="1" t="s">
        <v>13</v>
      </c>
      <c r="C19">
        <v>1.17</v>
      </c>
      <c r="D19">
        <v>5</v>
      </c>
      <c r="E19" s="1" t="s">
        <v>51</v>
      </c>
      <c r="F19">
        <v>5</v>
      </c>
      <c r="G19" s="1" t="s">
        <v>40</v>
      </c>
    </row>
    <row r="20" spans="1:7" x14ac:dyDescent="0.35">
      <c r="A20" s="1" t="s">
        <v>65</v>
      </c>
      <c r="B20" s="1" t="s">
        <v>14</v>
      </c>
      <c r="C20">
        <v>7.43</v>
      </c>
      <c r="D20">
        <v>4</v>
      </c>
      <c r="E20" s="1" t="s">
        <v>61</v>
      </c>
      <c r="F20">
        <v>0</v>
      </c>
      <c r="G20" s="1" t="s">
        <v>40</v>
      </c>
    </row>
    <row r="21" spans="1:7" x14ac:dyDescent="0.35">
      <c r="A21" s="1" t="s">
        <v>70</v>
      </c>
      <c r="B21" s="1" t="s">
        <v>12</v>
      </c>
      <c r="C21">
        <v>37.83</v>
      </c>
      <c r="D21">
        <v>4</v>
      </c>
      <c r="E21" s="1" t="s">
        <v>51</v>
      </c>
      <c r="F21">
        <v>13</v>
      </c>
      <c r="G21" s="1" t="s">
        <v>43</v>
      </c>
    </row>
    <row r="22" spans="1:7" x14ac:dyDescent="0.35">
      <c r="A22" s="1" t="s">
        <v>57</v>
      </c>
      <c r="B22" s="1" t="s">
        <v>15</v>
      </c>
      <c r="C22">
        <v>19.440000000000001</v>
      </c>
      <c r="D22">
        <v>3</v>
      </c>
      <c r="E22" s="1" t="s">
        <v>51</v>
      </c>
      <c r="F22">
        <v>5</v>
      </c>
      <c r="G22" s="1" t="s">
        <v>41</v>
      </c>
    </row>
    <row r="23" spans="1:7" x14ac:dyDescent="0.35">
      <c r="A23" s="1" t="s">
        <v>71</v>
      </c>
      <c r="B23" s="1" t="s">
        <v>16</v>
      </c>
      <c r="C23">
        <v>43.54</v>
      </c>
      <c r="D23">
        <v>5</v>
      </c>
      <c r="E23" s="1" t="s">
        <v>51</v>
      </c>
      <c r="F23">
        <v>12</v>
      </c>
      <c r="G23" s="1" t="s">
        <v>43</v>
      </c>
    </row>
    <row r="24" spans="1:7" x14ac:dyDescent="0.35">
      <c r="A24" s="1" t="s">
        <v>57</v>
      </c>
      <c r="B24" s="1" t="s">
        <v>13</v>
      </c>
      <c r="C24">
        <v>55.81</v>
      </c>
      <c r="D24">
        <v>5</v>
      </c>
      <c r="E24" s="1" t="s">
        <v>51</v>
      </c>
      <c r="F24">
        <v>6</v>
      </c>
      <c r="G24" s="1" t="s">
        <v>40</v>
      </c>
    </row>
    <row r="25" spans="1:7" x14ac:dyDescent="0.35">
      <c r="A25" s="1" t="s">
        <v>72</v>
      </c>
      <c r="B25" s="1" t="s">
        <v>17</v>
      </c>
      <c r="C25">
        <v>46.83</v>
      </c>
      <c r="D25">
        <v>4</v>
      </c>
      <c r="E25" s="1" t="s">
        <v>51</v>
      </c>
      <c r="F25">
        <v>2</v>
      </c>
      <c r="G25" s="1" t="s">
        <v>40</v>
      </c>
    </row>
    <row r="26" spans="1:7" x14ac:dyDescent="0.35">
      <c r="A26" s="1" t="s">
        <v>54</v>
      </c>
      <c r="B26" s="1" t="s">
        <v>10</v>
      </c>
      <c r="C26">
        <v>24.32</v>
      </c>
      <c r="D26">
        <v>4</v>
      </c>
      <c r="E26" s="1" t="s">
        <v>51</v>
      </c>
      <c r="F26">
        <v>10</v>
      </c>
      <c r="G26" s="1" t="s">
        <v>40</v>
      </c>
    </row>
    <row r="27" spans="1:7" x14ac:dyDescent="0.35">
      <c r="A27" s="1" t="s">
        <v>50</v>
      </c>
      <c r="B27" s="1" t="s">
        <v>9</v>
      </c>
      <c r="C27">
        <v>55.34</v>
      </c>
      <c r="D27">
        <v>5</v>
      </c>
      <c r="E27" s="1" t="s">
        <v>51</v>
      </c>
      <c r="F27">
        <v>19</v>
      </c>
      <c r="G27" s="1" t="s">
        <v>43</v>
      </c>
    </row>
    <row r="28" spans="1:7" x14ac:dyDescent="0.35">
      <c r="A28" s="1" t="s">
        <v>73</v>
      </c>
      <c r="B28" s="1" t="s">
        <v>11</v>
      </c>
      <c r="C28">
        <v>21.03</v>
      </c>
      <c r="D28">
        <v>3</v>
      </c>
      <c r="E28" s="1" t="s">
        <v>51</v>
      </c>
      <c r="F28">
        <v>17</v>
      </c>
      <c r="G28" s="1" t="s">
        <v>42</v>
      </c>
    </row>
    <row r="29" spans="1:7" x14ac:dyDescent="0.35">
      <c r="A29" s="1" t="s">
        <v>58</v>
      </c>
      <c r="B29" s="1" t="s">
        <v>9</v>
      </c>
      <c r="C29">
        <v>45.5</v>
      </c>
      <c r="D29">
        <v>5</v>
      </c>
      <c r="E29" s="1" t="s">
        <v>51</v>
      </c>
      <c r="F29">
        <v>19</v>
      </c>
      <c r="G29" s="1" t="s">
        <v>43</v>
      </c>
    </row>
    <row r="30" spans="1:7" x14ac:dyDescent="0.35">
      <c r="A30" s="1" t="s">
        <v>64</v>
      </c>
      <c r="B30" s="1" t="s">
        <v>18</v>
      </c>
      <c r="C30">
        <v>51.98</v>
      </c>
      <c r="D30">
        <v>5</v>
      </c>
      <c r="E30" s="1" t="s">
        <v>51</v>
      </c>
      <c r="F30">
        <v>17</v>
      </c>
      <c r="G30" s="1" t="s">
        <v>43</v>
      </c>
    </row>
    <row r="31" spans="1:7" x14ac:dyDescent="0.35">
      <c r="A31" s="1" t="s">
        <v>74</v>
      </c>
      <c r="B31" s="1" t="s">
        <v>18</v>
      </c>
      <c r="C31">
        <v>11.18</v>
      </c>
      <c r="D31">
        <v>3</v>
      </c>
      <c r="E31" s="1" t="s">
        <v>51</v>
      </c>
      <c r="F31">
        <v>15</v>
      </c>
      <c r="G31" s="1" t="s">
        <v>42</v>
      </c>
    </row>
    <row r="32" spans="1:7" x14ac:dyDescent="0.35">
      <c r="A32" s="1" t="s">
        <v>75</v>
      </c>
      <c r="B32" s="1" t="s">
        <v>13</v>
      </c>
      <c r="C32">
        <v>52.51</v>
      </c>
      <c r="D32">
        <v>3</v>
      </c>
      <c r="E32" s="1" t="s">
        <v>51</v>
      </c>
      <c r="F32">
        <v>5</v>
      </c>
      <c r="G32" s="1" t="s">
        <v>41</v>
      </c>
    </row>
    <row r="33" spans="1:7" x14ac:dyDescent="0.35">
      <c r="A33" s="1" t="s">
        <v>71</v>
      </c>
      <c r="B33" s="1" t="s">
        <v>4</v>
      </c>
      <c r="C33">
        <v>25.98</v>
      </c>
      <c r="D33">
        <v>4</v>
      </c>
      <c r="E33" s="1" t="s">
        <v>51</v>
      </c>
      <c r="F33">
        <v>6</v>
      </c>
      <c r="G33" s="1" t="s">
        <v>40</v>
      </c>
    </row>
    <row r="34" spans="1:7" x14ac:dyDescent="0.35">
      <c r="A34" s="1" t="s">
        <v>76</v>
      </c>
      <c r="B34" s="1" t="s">
        <v>5</v>
      </c>
      <c r="C34">
        <v>10.57</v>
      </c>
      <c r="D34">
        <v>5</v>
      </c>
      <c r="E34" s="1" t="s">
        <v>51</v>
      </c>
      <c r="F34">
        <v>6</v>
      </c>
      <c r="G34" s="1" t="s">
        <v>40</v>
      </c>
    </row>
    <row r="35" spans="1:7" x14ac:dyDescent="0.35">
      <c r="A35" s="1" t="s">
        <v>77</v>
      </c>
      <c r="B35" s="1" t="s">
        <v>9</v>
      </c>
      <c r="C35">
        <v>28.23</v>
      </c>
      <c r="D35">
        <v>3</v>
      </c>
      <c r="E35" s="1" t="s">
        <v>51</v>
      </c>
      <c r="F35">
        <v>17</v>
      </c>
      <c r="G35" s="1" t="s">
        <v>42</v>
      </c>
    </row>
    <row r="36" spans="1:7" x14ac:dyDescent="0.35">
      <c r="A36" s="1" t="s">
        <v>78</v>
      </c>
      <c r="B36" s="1" t="s">
        <v>19</v>
      </c>
      <c r="C36">
        <v>26.81</v>
      </c>
      <c r="D36">
        <v>5</v>
      </c>
      <c r="E36" s="1" t="s">
        <v>51</v>
      </c>
      <c r="F36">
        <v>15</v>
      </c>
      <c r="G36" s="1" t="s">
        <v>43</v>
      </c>
    </row>
    <row r="37" spans="1:7" x14ac:dyDescent="0.35">
      <c r="A37" s="1" t="s">
        <v>79</v>
      </c>
      <c r="B37" s="1" t="s">
        <v>19</v>
      </c>
      <c r="C37">
        <v>9.19</v>
      </c>
      <c r="D37">
        <v>5</v>
      </c>
      <c r="E37" s="1" t="s">
        <v>51</v>
      </c>
      <c r="F37">
        <v>1</v>
      </c>
      <c r="G37" s="1" t="s">
        <v>40</v>
      </c>
    </row>
    <row r="38" spans="1:7" x14ac:dyDescent="0.35">
      <c r="A38" s="1" t="s">
        <v>77</v>
      </c>
      <c r="B38" s="1" t="s">
        <v>20</v>
      </c>
      <c r="C38">
        <v>1.97</v>
      </c>
      <c r="D38">
        <v>4</v>
      </c>
      <c r="E38" s="1" t="s">
        <v>51</v>
      </c>
      <c r="F38">
        <v>5</v>
      </c>
      <c r="G38" s="1" t="s">
        <v>40</v>
      </c>
    </row>
    <row r="39" spans="1:7" x14ac:dyDescent="0.35">
      <c r="A39" s="1" t="s">
        <v>74</v>
      </c>
      <c r="B39" s="1" t="s">
        <v>21</v>
      </c>
      <c r="C39">
        <v>15.96</v>
      </c>
      <c r="D39">
        <v>1</v>
      </c>
      <c r="E39" s="1" t="s">
        <v>51</v>
      </c>
      <c r="F39">
        <v>12</v>
      </c>
      <c r="G39" s="1" t="s">
        <v>42</v>
      </c>
    </row>
    <row r="40" spans="1:7" x14ac:dyDescent="0.35">
      <c r="A40" s="1" t="s">
        <v>80</v>
      </c>
      <c r="B40" s="1" t="s">
        <v>9</v>
      </c>
      <c r="C40">
        <v>3.18</v>
      </c>
      <c r="D40">
        <v>3</v>
      </c>
      <c r="E40" s="1" t="s">
        <v>51</v>
      </c>
      <c r="F40">
        <v>2</v>
      </c>
      <c r="G40" s="1" t="s">
        <v>41</v>
      </c>
    </row>
    <row r="41" spans="1:7" x14ac:dyDescent="0.35">
      <c r="A41" s="1" t="s">
        <v>50</v>
      </c>
      <c r="B41" s="1" t="s">
        <v>22</v>
      </c>
      <c r="C41">
        <v>21</v>
      </c>
      <c r="D41">
        <v>3</v>
      </c>
      <c r="E41" s="1" t="s">
        <v>51</v>
      </c>
      <c r="F41">
        <v>12</v>
      </c>
      <c r="G41" s="1" t="s">
        <v>42</v>
      </c>
    </row>
    <row r="42" spans="1:7" x14ac:dyDescent="0.35">
      <c r="A42" s="1" t="s">
        <v>81</v>
      </c>
      <c r="B42" s="1" t="s">
        <v>23</v>
      </c>
      <c r="C42">
        <v>43.87</v>
      </c>
      <c r="D42">
        <v>5</v>
      </c>
      <c r="E42" s="1" t="s">
        <v>51</v>
      </c>
      <c r="F42">
        <v>14</v>
      </c>
      <c r="G42" s="1" t="s">
        <v>43</v>
      </c>
    </row>
    <row r="43" spans="1:7" x14ac:dyDescent="0.35">
      <c r="A43" s="1" t="s">
        <v>73</v>
      </c>
      <c r="B43" s="1" t="s">
        <v>22</v>
      </c>
      <c r="C43">
        <v>57.01</v>
      </c>
      <c r="D43">
        <v>1</v>
      </c>
      <c r="E43" s="1" t="s">
        <v>51</v>
      </c>
      <c r="F43">
        <v>15</v>
      </c>
      <c r="G43" s="1" t="s">
        <v>42</v>
      </c>
    </row>
    <row r="44" spans="1:7" x14ac:dyDescent="0.35">
      <c r="A44" s="1" t="s">
        <v>54</v>
      </c>
      <c r="B44" s="1" t="s">
        <v>13</v>
      </c>
      <c r="C44">
        <v>17.850000000000001</v>
      </c>
      <c r="D44">
        <v>5</v>
      </c>
      <c r="E44" s="1" t="s">
        <v>51</v>
      </c>
      <c r="F44">
        <v>4</v>
      </c>
      <c r="G44" s="1" t="s">
        <v>40</v>
      </c>
    </row>
    <row r="45" spans="1:7" x14ac:dyDescent="0.35">
      <c r="A45" s="1" t="s">
        <v>56</v>
      </c>
      <c r="B45" s="1" t="s">
        <v>8</v>
      </c>
      <c r="C45">
        <v>47.82</v>
      </c>
      <c r="D45">
        <v>4</v>
      </c>
      <c r="E45" s="1" t="s">
        <v>51</v>
      </c>
      <c r="F45">
        <v>7</v>
      </c>
      <c r="G45" s="1" t="s">
        <v>40</v>
      </c>
    </row>
    <row r="46" spans="1:7" x14ac:dyDescent="0.35">
      <c r="A46" s="1" t="s">
        <v>82</v>
      </c>
      <c r="B46" s="1" t="s">
        <v>5</v>
      </c>
      <c r="C46">
        <v>58.36</v>
      </c>
      <c r="D46">
        <v>4</v>
      </c>
      <c r="E46" s="1" t="s">
        <v>51</v>
      </c>
      <c r="F46">
        <v>22</v>
      </c>
      <c r="G46" s="1" t="s">
        <v>43</v>
      </c>
    </row>
    <row r="47" spans="1:7" x14ac:dyDescent="0.35">
      <c r="A47" s="1" t="s">
        <v>83</v>
      </c>
      <c r="B47" s="1" t="s">
        <v>24</v>
      </c>
      <c r="C47">
        <v>53.79</v>
      </c>
      <c r="D47">
        <v>5</v>
      </c>
      <c r="E47" s="1" t="s">
        <v>51</v>
      </c>
      <c r="F47">
        <v>21</v>
      </c>
      <c r="G47" s="1" t="s">
        <v>43</v>
      </c>
    </row>
    <row r="48" spans="1:7" x14ac:dyDescent="0.35">
      <c r="A48" s="1" t="s">
        <v>78</v>
      </c>
      <c r="B48" s="1" t="s">
        <v>18</v>
      </c>
      <c r="C48">
        <v>46.48</v>
      </c>
      <c r="D48">
        <v>3</v>
      </c>
      <c r="E48" s="1" t="s">
        <v>51</v>
      </c>
      <c r="F48">
        <v>19</v>
      </c>
      <c r="G48" s="1" t="s">
        <v>42</v>
      </c>
    </row>
    <row r="49" spans="1:7" x14ac:dyDescent="0.35">
      <c r="A49" s="1" t="s">
        <v>57</v>
      </c>
      <c r="B49" s="1" t="s">
        <v>17</v>
      </c>
      <c r="C49">
        <v>51.82</v>
      </c>
      <c r="D49">
        <v>3</v>
      </c>
      <c r="E49" s="1" t="s">
        <v>61</v>
      </c>
      <c r="F49">
        <v>0</v>
      </c>
      <c r="G49" s="1" t="s">
        <v>41</v>
      </c>
    </row>
    <row r="50" spans="1:7" x14ac:dyDescent="0.35">
      <c r="A50" s="1" t="s">
        <v>84</v>
      </c>
      <c r="B50" s="1" t="s">
        <v>16</v>
      </c>
      <c r="C50">
        <v>35.08</v>
      </c>
      <c r="D50">
        <v>3</v>
      </c>
      <c r="E50" s="1" t="s">
        <v>51</v>
      </c>
      <c r="F50">
        <v>16</v>
      </c>
      <c r="G50" s="1" t="s">
        <v>42</v>
      </c>
    </row>
    <row r="51" spans="1:7" x14ac:dyDescent="0.35">
      <c r="A51" s="1" t="s">
        <v>85</v>
      </c>
      <c r="B51" s="1" t="s">
        <v>15</v>
      </c>
      <c r="C51">
        <v>26.42</v>
      </c>
      <c r="D51">
        <v>5</v>
      </c>
      <c r="E51" s="1" t="s">
        <v>51</v>
      </c>
      <c r="F51">
        <v>13</v>
      </c>
      <c r="G51" s="1" t="s">
        <v>43</v>
      </c>
    </row>
    <row r="52" spans="1:7" x14ac:dyDescent="0.35">
      <c r="A52" s="1" t="s">
        <v>86</v>
      </c>
      <c r="B52" s="1" t="s">
        <v>21</v>
      </c>
      <c r="C52">
        <v>45.54</v>
      </c>
      <c r="D52">
        <v>3</v>
      </c>
      <c r="E52" s="1" t="s">
        <v>51</v>
      </c>
      <c r="F52">
        <v>17</v>
      </c>
      <c r="G52" s="1" t="s">
        <v>42</v>
      </c>
    </row>
    <row r="53" spans="1:7" x14ac:dyDescent="0.35">
      <c r="A53" s="1" t="s">
        <v>87</v>
      </c>
      <c r="B53" s="1" t="s">
        <v>25</v>
      </c>
      <c r="C53">
        <v>42.81</v>
      </c>
      <c r="D53">
        <v>3</v>
      </c>
      <c r="E53" s="1" t="s">
        <v>51</v>
      </c>
      <c r="F53">
        <v>12</v>
      </c>
      <c r="G53" s="1" t="s">
        <v>42</v>
      </c>
    </row>
    <row r="54" spans="1:7" x14ac:dyDescent="0.35">
      <c r="A54" s="1" t="s">
        <v>88</v>
      </c>
      <c r="B54" s="1" t="s">
        <v>11</v>
      </c>
      <c r="C54">
        <v>37.56</v>
      </c>
      <c r="D54">
        <v>5</v>
      </c>
      <c r="E54" s="1" t="s">
        <v>51</v>
      </c>
      <c r="F54">
        <v>22</v>
      </c>
      <c r="G54" s="1" t="s">
        <v>43</v>
      </c>
    </row>
    <row r="55" spans="1:7" x14ac:dyDescent="0.35">
      <c r="A55" s="1" t="s">
        <v>89</v>
      </c>
      <c r="B55" s="1" t="s">
        <v>4</v>
      </c>
      <c r="C55">
        <v>29.22</v>
      </c>
      <c r="D55">
        <v>4</v>
      </c>
      <c r="E55" s="1" t="s">
        <v>61</v>
      </c>
      <c r="F55">
        <v>0</v>
      </c>
      <c r="G55" s="1" t="s">
        <v>40</v>
      </c>
    </row>
    <row r="56" spans="1:7" x14ac:dyDescent="0.35">
      <c r="A56" s="1" t="s">
        <v>90</v>
      </c>
      <c r="B56" s="1" t="s">
        <v>26</v>
      </c>
      <c r="C56">
        <v>42.59</v>
      </c>
      <c r="D56">
        <v>3</v>
      </c>
      <c r="E56" s="1" t="s">
        <v>51</v>
      </c>
      <c r="F56">
        <v>9</v>
      </c>
      <c r="G56" s="1" t="s">
        <v>41</v>
      </c>
    </row>
    <row r="57" spans="1:7" x14ac:dyDescent="0.35">
      <c r="A57" s="1" t="s">
        <v>89</v>
      </c>
      <c r="B57" s="1" t="s">
        <v>12</v>
      </c>
      <c r="C57">
        <v>56.04</v>
      </c>
      <c r="D57">
        <v>4</v>
      </c>
      <c r="E57" s="1" t="s">
        <v>51</v>
      </c>
      <c r="F57">
        <v>20</v>
      </c>
      <c r="G57" s="1" t="s">
        <v>43</v>
      </c>
    </row>
    <row r="58" spans="1:7" x14ac:dyDescent="0.35">
      <c r="A58" s="1" t="s">
        <v>91</v>
      </c>
      <c r="B58" s="1" t="s">
        <v>25</v>
      </c>
      <c r="C58">
        <v>29.16</v>
      </c>
      <c r="D58">
        <v>3</v>
      </c>
      <c r="E58" s="1" t="s">
        <v>61</v>
      </c>
      <c r="F58">
        <v>0</v>
      </c>
      <c r="G58" s="1" t="s">
        <v>41</v>
      </c>
    </row>
    <row r="59" spans="1:7" x14ac:dyDescent="0.35">
      <c r="A59" s="1" t="s">
        <v>92</v>
      </c>
      <c r="B59" s="1" t="s">
        <v>16</v>
      </c>
      <c r="C59">
        <v>45.18</v>
      </c>
      <c r="D59">
        <v>5</v>
      </c>
      <c r="E59" s="1" t="s">
        <v>51</v>
      </c>
      <c r="F59">
        <v>2</v>
      </c>
      <c r="G59" s="1" t="s">
        <v>40</v>
      </c>
    </row>
    <row r="60" spans="1:7" x14ac:dyDescent="0.35">
      <c r="A60" s="1" t="s">
        <v>93</v>
      </c>
      <c r="B60" s="1" t="s">
        <v>8</v>
      </c>
      <c r="C60">
        <v>1.83</v>
      </c>
      <c r="D60">
        <v>3</v>
      </c>
      <c r="E60" s="1" t="s">
        <v>51</v>
      </c>
      <c r="F60">
        <v>22</v>
      </c>
      <c r="G60" s="1" t="s">
        <v>42</v>
      </c>
    </row>
    <row r="61" spans="1:7" x14ac:dyDescent="0.35">
      <c r="A61" s="1" t="s">
        <v>94</v>
      </c>
      <c r="B61" s="1" t="s">
        <v>7</v>
      </c>
      <c r="C61">
        <v>35.36</v>
      </c>
      <c r="D61">
        <v>4</v>
      </c>
      <c r="E61" s="1" t="s">
        <v>51</v>
      </c>
      <c r="F61">
        <v>12</v>
      </c>
      <c r="G61" s="1" t="s">
        <v>43</v>
      </c>
    </row>
    <row r="62" spans="1:7" x14ac:dyDescent="0.35">
      <c r="A62" s="1" t="s">
        <v>95</v>
      </c>
      <c r="B62" s="1" t="s">
        <v>11</v>
      </c>
      <c r="C62">
        <v>59.33</v>
      </c>
      <c r="D62">
        <v>4</v>
      </c>
      <c r="E62" s="1" t="s">
        <v>51</v>
      </c>
      <c r="F62">
        <v>16</v>
      </c>
      <c r="G62" s="1" t="s">
        <v>43</v>
      </c>
    </row>
    <row r="63" spans="1:7" x14ac:dyDescent="0.35">
      <c r="A63" s="1" t="s">
        <v>96</v>
      </c>
      <c r="B63" s="1" t="s">
        <v>8</v>
      </c>
      <c r="C63">
        <v>20.36</v>
      </c>
      <c r="D63">
        <v>4</v>
      </c>
      <c r="E63" s="1" t="s">
        <v>51</v>
      </c>
      <c r="F63">
        <v>7</v>
      </c>
      <c r="G63" s="1" t="s">
        <v>40</v>
      </c>
    </row>
    <row r="64" spans="1:7" x14ac:dyDescent="0.35">
      <c r="A64" s="1" t="s">
        <v>97</v>
      </c>
      <c r="B64" s="1" t="s">
        <v>1</v>
      </c>
      <c r="C64">
        <v>21.32</v>
      </c>
      <c r="D64">
        <v>2</v>
      </c>
      <c r="E64" s="1" t="s">
        <v>61</v>
      </c>
      <c r="F64">
        <v>0</v>
      </c>
      <c r="G64" s="1" t="s">
        <v>41</v>
      </c>
    </row>
    <row r="65" spans="1:7" x14ac:dyDescent="0.35">
      <c r="A65" s="1" t="s">
        <v>94</v>
      </c>
      <c r="B65" s="1" t="s">
        <v>4</v>
      </c>
      <c r="C65">
        <v>52.59</v>
      </c>
      <c r="D65">
        <v>2</v>
      </c>
      <c r="E65" s="1" t="s">
        <v>68</v>
      </c>
      <c r="F65">
        <v>4</v>
      </c>
      <c r="G65" s="1" t="s">
        <v>41</v>
      </c>
    </row>
    <row r="66" spans="1:7" x14ac:dyDescent="0.35">
      <c r="A66" s="1" t="s">
        <v>90</v>
      </c>
      <c r="B66" s="1" t="s">
        <v>11</v>
      </c>
      <c r="C66">
        <v>46.16</v>
      </c>
      <c r="D66">
        <v>1</v>
      </c>
      <c r="E66" s="1" t="s">
        <v>51</v>
      </c>
      <c r="F66">
        <v>20</v>
      </c>
      <c r="G66" s="1" t="s">
        <v>42</v>
      </c>
    </row>
    <row r="67" spans="1:7" x14ac:dyDescent="0.35">
      <c r="A67" s="1" t="s">
        <v>98</v>
      </c>
      <c r="B67" s="1" t="s">
        <v>7</v>
      </c>
      <c r="C67">
        <v>14.81</v>
      </c>
      <c r="D67">
        <v>5</v>
      </c>
      <c r="E67" s="1" t="s">
        <v>51</v>
      </c>
      <c r="F67">
        <v>19</v>
      </c>
      <c r="G67" s="1" t="s">
        <v>43</v>
      </c>
    </row>
    <row r="68" spans="1:7" x14ac:dyDescent="0.35">
      <c r="A68" s="1" t="s">
        <v>99</v>
      </c>
      <c r="B68" s="1" t="s">
        <v>18</v>
      </c>
      <c r="C68">
        <v>40.6</v>
      </c>
      <c r="D68">
        <v>5</v>
      </c>
      <c r="E68" s="1" t="s">
        <v>51</v>
      </c>
      <c r="F68">
        <v>14</v>
      </c>
      <c r="G68" s="1" t="s">
        <v>43</v>
      </c>
    </row>
    <row r="69" spans="1:7" x14ac:dyDescent="0.35">
      <c r="A69" s="1" t="s">
        <v>91</v>
      </c>
      <c r="B69" s="1" t="s">
        <v>27</v>
      </c>
      <c r="C69">
        <v>55.4</v>
      </c>
      <c r="D69">
        <v>5</v>
      </c>
      <c r="E69" s="1" t="s">
        <v>51</v>
      </c>
      <c r="F69">
        <v>7</v>
      </c>
      <c r="G69" s="1" t="s">
        <v>40</v>
      </c>
    </row>
    <row r="70" spans="1:7" x14ac:dyDescent="0.35">
      <c r="A70" s="1" t="s">
        <v>100</v>
      </c>
      <c r="B70" s="1" t="s">
        <v>11</v>
      </c>
      <c r="C70">
        <v>59.96</v>
      </c>
      <c r="D70">
        <v>4</v>
      </c>
      <c r="E70" s="1" t="s">
        <v>51</v>
      </c>
      <c r="F70">
        <v>20</v>
      </c>
      <c r="G70" s="1" t="s">
        <v>43</v>
      </c>
    </row>
    <row r="71" spans="1:7" x14ac:dyDescent="0.35">
      <c r="A71" s="1" t="s">
        <v>101</v>
      </c>
      <c r="B71" s="1" t="s">
        <v>17</v>
      </c>
      <c r="C71">
        <v>25.42</v>
      </c>
      <c r="D71">
        <v>4</v>
      </c>
      <c r="E71" s="1" t="s">
        <v>51</v>
      </c>
      <c r="F71">
        <v>5</v>
      </c>
      <c r="G71" s="1" t="s">
        <v>40</v>
      </c>
    </row>
    <row r="72" spans="1:7" x14ac:dyDescent="0.35">
      <c r="A72" s="1" t="s">
        <v>97</v>
      </c>
      <c r="B72" s="1" t="s">
        <v>9</v>
      </c>
      <c r="C72">
        <v>10.92</v>
      </c>
      <c r="D72">
        <v>5</v>
      </c>
      <c r="E72" s="1" t="s">
        <v>51</v>
      </c>
      <c r="F72">
        <v>18</v>
      </c>
      <c r="G72" s="1" t="s">
        <v>43</v>
      </c>
    </row>
    <row r="73" spans="1:7" x14ac:dyDescent="0.35">
      <c r="A73" s="1" t="s">
        <v>102</v>
      </c>
      <c r="B73" s="1" t="s">
        <v>21</v>
      </c>
      <c r="C73">
        <v>4.57</v>
      </c>
      <c r="D73">
        <v>4</v>
      </c>
      <c r="E73" s="1" t="s">
        <v>61</v>
      </c>
      <c r="F73">
        <v>0</v>
      </c>
      <c r="G73" s="1" t="s">
        <v>40</v>
      </c>
    </row>
    <row r="74" spans="1:7" x14ac:dyDescent="0.35">
      <c r="A74" s="1" t="s">
        <v>103</v>
      </c>
      <c r="B74" s="1" t="s">
        <v>10</v>
      </c>
      <c r="C74">
        <v>12.32</v>
      </c>
      <c r="D74">
        <v>4</v>
      </c>
      <c r="E74" s="1" t="s">
        <v>51</v>
      </c>
      <c r="F74">
        <v>9</v>
      </c>
      <c r="G74" s="1" t="s">
        <v>40</v>
      </c>
    </row>
    <row r="75" spans="1:7" x14ac:dyDescent="0.35">
      <c r="A75" s="1" t="s">
        <v>104</v>
      </c>
      <c r="B75" s="1" t="s">
        <v>26</v>
      </c>
      <c r="C75">
        <v>11.11</v>
      </c>
      <c r="D75">
        <v>4</v>
      </c>
      <c r="E75" s="1" t="s">
        <v>51</v>
      </c>
      <c r="F75">
        <v>11</v>
      </c>
      <c r="G75" s="1" t="s">
        <v>43</v>
      </c>
    </row>
    <row r="76" spans="1:7" x14ac:dyDescent="0.35">
      <c r="A76" s="1" t="s">
        <v>105</v>
      </c>
      <c r="B76" s="1" t="s">
        <v>17</v>
      </c>
      <c r="C76">
        <v>1.92</v>
      </c>
      <c r="D76">
        <v>3</v>
      </c>
      <c r="E76" s="1" t="s">
        <v>51</v>
      </c>
      <c r="F76">
        <v>13</v>
      </c>
      <c r="G76" s="1" t="s">
        <v>42</v>
      </c>
    </row>
    <row r="77" spans="1:7" x14ac:dyDescent="0.35">
      <c r="A77" s="1" t="s">
        <v>106</v>
      </c>
      <c r="B77" s="1" t="s">
        <v>27</v>
      </c>
      <c r="C77">
        <v>21.09</v>
      </c>
      <c r="D77">
        <v>5</v>
      </c>
      <c r="E77" s="1" t="s">
        <v>61</v>
      </c>
      <c r="F77">
        <v>0</v>
      </c>
      <c r="G77" s="1" t="s">
        <v>40</v>
      </c>
    </row>
    <row r="78" spans="1:7" x14ac:dyDescent="0.35">
      <c r="A78" s="1" t="s">
        <v>92</v>
      </c>
      <c r="B78" s="1" t="s">
        <v>5</v>
      </c>
      <c r="C78">
        <v>23.42</v>
      </c>
      <c r="D78">
        <v>5</v>
      </c>
      <c r="E78" s="1" t="s">
        <v>51</v>
      </c>
      <c r="F78">
        <v>13</v>
      </c>
      <c r="G78" s="1" t="s">
        <v>43</v>
      </c>
    </row>
    <row r="79" spans="1:7" x14ac:dyDescent="0.35">
      <c r="A79" s="1" t="s">
        <v>107</v>
      </c>
      <c r="B79" s="1" t="s">
        <v>22</v>
      </c>
      <c r="C79">
        <v>1.73</v>
      </c>
      <c r="D79">
        <v>4</v>
      </c>
      <c r="E79" s="1" t="s">
        <v>51</v>
      </c>
      <c r="F79">
        <v>18</v>
      </c>
      <c r="G79" s="1" t="s">
        <v>43</v>
      </c>
    </row>
    <row r="80" spans="1:7" x14ac:dyDescent="0.35">
      <c r="A80" s="1" t="s">
        <v>108</v>
      </c>
      <c r="B80" s="1" t="s">
        <v>13</v>
      </c>
      <c r="C80">
        <v>37.380000000000003</v>
      </c>
      <c r="D80">
        <v>4</v>
      </c>
      <c r="E80" s="1" t="s">
        <v>51</v>
      </c>
      <c r="F80">
        <v>1</v>
      </c>
      <c r="G80" s="1" t="s">
        <v>40</v>
      </c>
    </row>
    <row r="81" spans="1:7" x14ac:dyDescent="0.35">
      <c r="A81" s="1" t="s">
        <v>109</v>
      </c>
      <c r="B81" s="1" t="s">
        <v>7</v>
      </c>
      <c r="C81">
        <v>44.35</v>
      </c>
      <c r="D81">
        <v>4</v>
      </c>
      <c r="E81" s="1" t="s">
        <v>61</v>
      </c>
      <c r="F81">
        <v>0</v>
      </c>
      <c r="G81" s="1" t="s">
        <v>40</v>
      </c>
    </row>
    <row r="82" spans="1:7" x14ac:dyDescent="0.35">
      <c r="A82" s="1" t="s">
        <v>110</v>
      </c>
      <c r="B82" s="1" t="s">
        <v>27</v>
      </c>
      <c r="C82">
        <v>49.31</v>
      </c>
      <c r="D82">
        <v>5</v>
      </c>
      <c r="E82" s="1" t="s">
        <v>51</v>
      </c>
      <c r="F82">
        <v>16</v>
      </c>
      <c r="G82" s="1" t="s">
        <v>43</v>
      </c>
    </row>
    <row r="83" spans="1:7" x14ac:dyDescent="0.35">
      <c r="A83" s="1" t="s">
        <v>111</v>
      </c>
      <c r="B83" s="1" t="s">
        <v>2</v>
      </c>
      <c r="C83">
        <v>32.67</v>
      </c>
      <c r="D83">
        <v>4</v>
      </c>
      <c r="E83" s="1" t="s">
        <v>51</v>
      </c>
      <c r="F83">
        <v>8</v>
      </c>
      <c r="G83" s="1" t="s">
        <v>40</v>
      </c>
    </row>
    <row r="84" spans="1:7" x14ac:dyDescent="0.35">
      <c r="A84" s="1" t="s">
        <v>112</v>
      </c>
      <c r="B84" s="1" t="s">
        <v>9</v>
      </c>
      <c r="C84">
        <v>23.07</v>
      </c>
      <c r="D84">
        <v>4</v>
      </c>
      <c r="E84" s="1" t="s">
        <v>51</v>
      </c>
      <c r="F84">
        <v>17</v>
      </c>
      <c r="G84" s="1" t="s">
        <v>43</v>
      </c>
    </row>
    <row r="85" spans="1:7" x14ac:dyDescent="0.35">
      <c r="A85" s="1" t="s">
        <v>110</v>
      </c>
      <c r="B85" s="1" t="s">
        <v>27</v>
      </c>
      <c r="C85">
        <v>18.71</v>
      </c>
      <c r="D85">
        <v>5</v>
      </c>
      <c r="E85" s="1" t="s">
        <v>51</v>
      </c>
      <c r="F85">
        <v>11</v>
      </c>
      <c r="G85" s="1" t="s">
        <v>43</v>
      </c>
    </row>
    <row r="86" spans="1:7" x14ac:dyDescent="0.35">
      <c r="A86" s="1" t="s">
        <v>113</v>
      </c>
      <c r="B86" s="1" t="s">
        <v>28</v>
      </c>
      <c r="C86">
        <v>27.52</v>
      </c>
      <c r="D86">
        <v>4</v>
      </c>
      <c r="E86" s="1" t="s">
        <v>51</v>
      </c>
      <c r="F86">
        <v>7</v>
      </c>
      <c r="G86" s="1" t="s">
        <v>40</v>
      </c>
    </row>
    <row r="87" spans="1:7" x14ac:dyDescent="0.35">
      <c r="A87" s="1" t="s">
        <v>87</v>
      </c>
      <c r="B87" s="1" t="s">
        <v>21</v>
      </c>
      <c r="C87">
        <v>21.76</v>
      </c>
      <c r="D87">
        <v>4</v>
      </c>
      <c r="E87" s="1" t="s">
        <v>51</v>
      </c>
      <c r="F87">
        <v>22</v>
      </c>
      <c r="G87" s="1" t="s">
        <v>43</v>
      </c>
    </row>
    <row r="88" spans="1:7" x14ac:dyDescent="0.35">
      <c r="A88" s="1" t="s">
        <v>114</v>
      </c>
      <c r="B88" s="1" t="s">
        <v>18</v>
      </c>
      <c r="C88">
        <v>55.9</v>
      </c>
      <c r="D88">
        <v>3</v>
      </c>
      <c r="E88" s="1" t="s">
        <v>51</v>
      </c>
      <c r="F88">
        <v>10</v>
      </c>
      <c r="G88" s="1" t="s">
        <v>41</v>
      </c>
    </row>
    <row r="89" spans="1:7" x14ac:dyDescent="0.35">
      <c r="A89" s="1" t="s">
        <v>103</v>
      </c>
      <c r="B89" s="1" t="s">
        <v>3</v>
      </c>
      <c r="C89">
        <v>47.95</v>
      </c>
      <c r="D89">
        <v>3</v>
      </c>
      <c r="E89" s="1" t="s">
        <v>51</v>
      </c>
      <c r="F89">
        <v>8</v>
      </c>
      <c r="G89" s="1" t="s">
        <v>41</v>
      </c>
    </row>
    <row r="90" spans="1:7" x14ac:dyDescent="0.35">
      <c r="A90" s="1" t="s">
        <v>97</v>
      </c>
      <c r="B90" s="1" t="s">
        <v>15</v>
      </c>
      <c r="C90">
        <v>44.42</v>
      </c>
      <c r="D90">
        <v>4</v>
      </c>
      <c r="E90" s="1" t="s">
        <v>51</v>
      </c>
      <c r="F90">
        <v>2</v>
      </c>
      <c r="G90" s="1" t="s">
        <v>40</v>
      </c>
    </row>
    <row r="91" spans="1:7" x14ac:dyDescent="0.35">
      <c r="A91" s="1" t="s">
        <v>115</v>
      </c>
      <c r="B91" s="1" t="s">
        <v>23</v>
      </c>
      <c r="C91">
        <v>34.630000000000003</v>
      </c>
      <c r="D91">
        <v>4</v>
      </c>
      <c r="E91" s="1" t="s">
        <v>51</v>
      </c>
      <c r="F91">
        <v>6</v>
      </c>
      <c r="G91" s="1" t="s">
        <v>40</v>
      </c>
    </row>
    <row r="92" spans="1:7" x14ac:dyDescent="0.35">
      <c r="A92" s="1" t="s">
        <v>116</v>
      </c>
      <c r="B92" s="1" t="s">
        <v>26</v>
      </c>
      <c r="C92">
        <v>20</v>
      </c>
      <c r="D92">
        <v>3</v>
      </c>
      <c r="E92" s="1" t="s">
        <v>68</v>
      </c>
      <c r="F92">
        <v>13</v>
      </c>
      <c r="G92" s="1" t="s">
        <v>42</v>
      </c>
    </row>
    <row r="93" spans="1:7" x14ac:dyDescent="0.35">
      <c r="A93" s="1" t="s">
        <v>117</v>
      </c>
      <c r="B93" s="1" t="s">
        <v>11</v>
      </c>
      <c r="C93">
        <v>6.49</v>
      </c>
      <c r="D93">
        <v>5</v>
      </c>
      <c r="E93" s="1" t="s">
        <v>51</v>
      </c>
      <c r="F93">
        <v>12</v>
      </c>
      <c r="G93" s="1" t="s">
        <v>43</v>
      </c>
    </row>
    <row r="94" spans="1:7" x14ac:dyDescent="0.35">
      <c r="A94" s="1" t="s">
        <v>115</v>
      </c>
      <c r="B94" s="1" t="s">
        <v>19</v>
      </c>
      <c r="C94">
        <v>28.11</v>
      </c>
      <c r="D94">
        <v>2</v>
      </c>
      <c r="E94" s="1" t="s">
        <v>68</v>
      </c>
      <c r="F94">
        <v>15</v>
      </c>
      <c r="G94" s="1" t="s">
        <v>42</v>
      </c>
    </row>
    <row r="95" spans="1:7" x14ac:dyDescent="0.35">
      <c r="A95" s="1" t="s">
        <v>86</v>
      </c>
      <c r="B95" s="1" t="s">
        <v>11</v>
      </c>
      <c r="C95">
        <v>42.26</v>
      </c>
      <c r="D95">
        <v>3</v>
      </c>
      <c r="E95" s="1" t="s">
        <v>51</v>
      </c>
      <c r="F95">
        <v>4</v>
      </c>
      <c r="G95" s="1" t="s">
        <v>41</v>
      </c>
    </row>
    <row r="96" spans="1:7" x14ac:dyDescent="0.35">
      <c r="A96" s="1" t="s">
        <v>99</v>
      </c>
      <c r="B96" s="1" t="s">
        <v>29</v>
      </c>
      <c r="C96">
        <v>18.649999999999999</v>
      </c>
      <c r="D96">
        <v>4</v>
      </c>
      <c r="E96" s="1" t="s">
        <v>51</v>
      </c>
      <c r="F96">
        <v>5</v>
      </c>
      <c r="G96" s="1" t="s">
        <v>40</v>
      </c>
    </row>
    <row r="97" spans="1:7" x14ac:dyDescent="0.35">
      <c r="A97" s="1" t="s">
        <v>86</v>
      </c>
      <c r="B97" s="1" t="s">
        <v>11</v>
      </c>
      <c r="C97">
        <v>23.65</v>
      </c>
      <c r="D97">
        <v>5</v>
      </c>
      <c r="E97" s="1" t="s">
        <v>51</v>
      </c>
      <c r="F97">
        <v>5</v>
      </c>
      <c r="G97" s="1" t="s">
        <v>40</v>
      </c>
    </row>
    <row r="98" spans="1:7" x14ac:dyDescent="0.35">
      <c r="A98" s="1" t="s">
        <v>118</v>
      </c>
      <c r="B98" s="1" t="s">
        <v>2</v>
      </c>
      <c r="C98">
        <v>57.32</v>
      </c>
      <c r="D98">
        <v>4</v>
      </c>
      <c r="E98" s="1" t="s">
        <v>51</v>
      </c>
      <c r="F98">
        <v>16</v>
      </c>
      <c r="G98" s="1" t="s">
        <v>43</v>
      </c>
    </row>
    <row r="99" spans="1:7" x14ac:dyDescent="0.35">
      <c r="A99" s="1" t="s">
        <v>119</v>
      </c>
      <c r="B99" s="1" t="s">
        <v>28</v>
      </c>
      <c r="C99">
        <v>3.35</v>
      </c>
      <c r="D99">
        <v>2</v>
      </c>
      <c r="E99" s="1" t="s">
        <v>51</v>
      </c>
      <c r="F99">
        <v>17</v>
      </c>
      <c r="G99" s="1" t="s">
        <v>42</v>
      </c>
    </row>
    <row r="100" spans="1:7" x14ac:dyDescent="0.35">
      <c r="A100" s="1" t="s">
        <v>118</v>
      </c>
      <c r="B100" s="1" t="s">
        <v>18</v>
      </c>
      <c r="C100">
        <v>41.18</v>
      </c>
      <c r="D100">
        <v>2</v>
      </c>
      <c r="E100" s="1" t="s">
        <v>51</v>
      </c>
      <c r="F100">
        <v>8</v>
      </c>
      <c r="G100" s="1" t="s">
        <v>41</v>
      </c>
    </row>
    <row r="101" spans="1:7" x14ac:dyDescent="0.35">
      <c r="A101" s="1" t="s">
        <v>118</v>
      </c>
      <c r="B101" s="1" t="s">
        <v>8</v>
      </c>
      <c r="C101">
        <v>22.94</v>
      </c>
      <c r="D101">
        <v>5</v>
      </c>
      <c r="E101" s="1" t="s">
        <v>68</v>
      </c>
      <c r="F101">
        <v>4</v>
      </c>
      <c r="G101" s="1" t="s">
        <v>40</v>
      </c>
    </row>
    <row r="102" spans="1:7" x14ac:dyDescent="0.35">
      <c r="A102" s="1" t="s">
        <v>120</v>
      </c>
      <c r="B102" s="1" t="s">
        <v>11</v>
      </c>
      <c r="C102">
        <v>7.8</v>
      </c>
      <c r="D102">
        <v>5</v>
      </c>
      <c r="E102" s="1" t="s">
        <v>51</v>
      </c>
      <c r="F102">
        <v>1</v>
      </c>
      <c r="G102" s="1" t="s">
        <v>40</v>
      </c>
    </row>
    <row r="103" spans="1:7" x14ac:dyDescent="0.35">
      <c r="A103" s="1" t="s">
        <v>121</v>
      </c>
      <c r="B103" s="1" t="s">
        <v>24</v>
      </c>
      <c r="C103">
        <v>40.72</v>
      </c>
      <c r="D103">
        <v>2</v>
      </c>
      <c r="E103" s="1" t="s">
        <v>51</v>
      </c>
      <c r="F103">
        <v>17</v>
      </c>
      <c r="G103" s="1" t="s">
        <v>42</v>
      </c>
    </row>
    <row r="104" spans="1:7" x14ac:dyDescent="0.35">
      <c r="A104" s="1" t="s">
        <v>122</v>
      </c>
      <c r="B104" s="1" t="s">
        <v>30</v>
      </c>
      <c r="C104">
        <v>46.77</v>
      </c>
      <c r="D104">
        <v>5</v>
      </c>
      <c r="E104" s="1" t="s">
        <v>51</v>
      </c>
      <c r="F104">
        <v>8</v>
      </c>
      <c r="G104" s="1" t="s">
        <v>40</v>
      </c>
    </row>
    <row r="105" spans="1:7" x14ac:dyDescent="0.35">
      <c r="A105" s="1" t="s">
        <v>123</v>
      </c>
      <c r="B105" s="1" t="s">
        <v>5</v>
      </c>
      <c r="C105">
        <v>42.98</v>
      </c>
      <c r="D105">
        <v>2</v>
      </c>
      <c r="E105" s="1" t="s">
        <v>68</v>
      </c>
      <c r="F105">
        <v>17</v>
      </c>
      <c r="G105" s="1" t="s">
        <v>42</v>
      </c>
    </row>
    <row r="106" spans="1:7" x14ac:dyDescent="0.35">
      <c r="A106" s="1" t="s">
        <v>124</v>
      </c>
      <c r="B106" s="1" t="s">
        <v>19</v>
      </c>
      <c r="C106">
        <v>44.38</v>
      </c>
      <c r="D106">
        <v>3</v>
      </c>
      <c r="E106" s="1" t="s">
        <v>51</v>
      </c>
      <c r="F106">
        <v>3</v>
      </c>
      <c r="G106" s="1" t="s">
        <v>41</v>
      </c>
    </row>
    <row r="107" spans="1:7" x14ac:dyDescent="0.35">
      <c r="A107" s="1" t="s">
        <v>125</v>
      </c>
      <c r="B107" s="1" t="s">
        <v>26</v>
      </c>
      <c r="C107">
        <v>42.11</v>
      </c>
      <c r="D107">
        <v>1</v>
      </c>
      <c r="E107" s="1" t="s">
        <v>68</v>
      </c>
      <c r="F107">
        <v>11</v>
      </c>
      <c r="G107" s="1" t="s">
        <v>42</v>
      </c>
    </row>
    <row r="108" spans="1:7" x14ac:dyDescent="0.35">
      <c r="A108" s="1" t="s">
        <v>126</v>
      </c>
      <c r="B108" s="1" t="s">
        <v>23</v>
      </c>
      <c r="C108">
        <v>49.98</v>
      </c>
      <c r="D108">
        <v>5</v>
      </c>
      <c r="E108" s="1" t="s">
        <v>51</v>
      </c>
      <c r="F108">
        <v>13</v>
      </c>
      <c r="G108" s="1" t="s">
        <v>43</v>
      </c>
    </row>
    <row r="109" spans="1:7" x14ac:dyDescent="0.35">
      <c r="A109" s="1" t="s">
        <v>127</v>
      </c>
      <c r="B109" s="1" t="s">
        <v>8</v>
      </c>
      <c r="C109">
        <v>55.51</v>
      </c>
      <c r="D109">
        <v>4</v>
      </c>
      <c r="E109" s="1" t="s">
        <v>51</v>
      </c>
      <c r="F109">
        <v>16</v>
      </c>
      <c r="G109" s="1" t="s">
        <v>43</v>
      </c>
    </row>
    <row r="110" spans="1:7" x14ac:dyDescent="0.35">
      <c r="A110" s="1" t="s">
        <v>128</v>
      </c>
      <c r="B110" s="1" t="s">
        <v>28</v>
      </c>
      <c r="C110">
        <v>38.909999999999997</v>
      </c>
      <c r="D110">
        <v>5</v>
      </c>
      <c r="E110" s="1" t="s">
        <v>51</v>
      </c>
      <c r="F110">
        <v>18</v>
      </c>
      <c r="G110" s="1" t="s">
        <v>43</v>
      </c>
    </row>
    <row r="111" spans="1:7" x14ac:dyDescent="0.35">
      <c r="A111" s="1" t="s">
        <v>129</v>
      </c>
      <c r="B111" s="1" t="s">
        <v>24</v>
      </c>
      <c r="C111">
        <v>22.08</v>
      </c>
      <c r="D111">
        <v>4</v>
      </c>
      <c r="E111" s="1" t="s">
        <v>51</v>
      </c>
      <c r="F111">
        <v>6</v>
      </c>
      <c r="G111" s="1" t="s">
        <v>40</v>
      </c>
    </row>
    <row r="112" spans="1:7" x14ac:dyDescent="0.35">
      <c r="A112" s="1" t="s">
        <v>130</v>
      </c>
      <c r="B112" s="1" t="s">
        <v>26</v>
      </c>
      <c r="C112">
        <v>22.16</v>
      </c>
      <c r="D112">
        <v>4</v>
      </c>
      <c r="E112" s="1" t="s">
        <v>51</v>
      </c>
      <c r="F112">
        <v>12</v>
      </c>
      <c r="G112" s="1" t="s">
        <v>43</v>
      </c>
    </row>
    <row r="113" spans="1:7" x14ac:dyDescent="0.35">
      <c r="A113" s="1" t="s">
        <v>131</v>
      </c>
      <c r="B113" s="1" t="s">
        <v>5</v>
      </c>
      <c r="C113">
        <v>21.1</v>
      </c>
      <c r="D113">
        <v>3</v>
      </c>
      <c r="E113" s="1" t="s">
        <v>51</v>
      </c>
      <c r="F113">
        <v>11</v>
      </c>
      <c r="G113" s="1" t="s">
        <v>42</v>
      </c>
    </row>
    <row r="114" spans="1:7" x14ac:dyDescent="0.35">
      <c r="A114" s="1" t="s">
        <v>132</v>
      </c>
      <c r="B114" s="1" t="s">
        <v>18</v>
      </c>
      <c r="C114">
        <v>57.67</v>
      </c>
      <c r="D114">
        <v>4</v>
      </c>
      <c r="E114" s="1" t="s">
        <v>51</v>
      </c>
      <c r="F114">
        <v>18</v>
      </c>
      <c r="G114" s="1" t="s">
        <v>43</v>
      </c>
    </row>
    <row r="115" spans="1:7" x14ac:dyDescent="0.35">
      <c r="A115" s="1" t="s">
        <v>133</v>
      </c>
      <c r="B115" s="1" t="s">
        <v>13</v>
      </c>
      <c r="C115">
        <v>19.77</v>
      </c>
      <c r="D115">
        <v>5</v>
      </c>
      <c r="E115" s="1" t="s">
        <v>51</v>
      </c>
      <c r="F115">
        <v>21</v>
      </c>
      <c r="G115" s="1" t="s">
        <v>43</v>
      </c>
    </row>
    <row r="116" spans="1:7" x14ac:dyDescent="0.35">
      <c r="A116" s="1" t="s">
        <v>134</v>
      </c>
      <c r="B116" s="1" t="s">
        <v>12</v>
      </c>
      <c r="C116">
        <v>47.43</v>
      </c>
      <c r="D116">
        <v>5</v>
      </c>
      <c r="E116" s="1" t="s">
        <v>51</v>
      </c>
      <c r="F116">
        <v>15</v>
      </c>
      <c r="G116" s="1" t="s">
        <v>43</v>
      </c>
    </row>
    <row r="117" spans="1:7" x14ac:dyDescent="0.35">
      <c r="A117" s="1" t="s">
        <v>135</v>
      </c>
      <c r="B117" s="1" t="s">
        <v>15</v>
      </c>
      <c r="C117">
        <v>5.38</v>
      </c>
      <c r="D117">
        <v>3</v>
      </c>
      <c r="E117" s="1" t="s">
        <v>51</v>
      </c>
      <c r="F117">
        <v>3</v>
      </c>
      <c r="G117" s="1" t="s">
        <v>41</v>
      </c>
    </row>
    <row r="118" spans="1:7" x14ac:dyDescent="0.35">
      <c r="A118" s="1" t="s">
        <v>136</v>
      </c>
      <c r="B118" s="1" t="s">
        <v>11</v>
      </c>
      <c r="C118">
        <v>32.86</v>
      </c>
      <c r="D118">
        <v>4</v>
      </c>
      <c r="E118" s="1" t="s">
        <v>51</v>
      </c>
      <c r="F118">
        <v>4</v>
      </c>
      <c r="G118" s="1" t="s">
        <v>40</v>
      </c>
    </row>
    <row r="119" spans="1:7" x14ac:dyDescent="0.35">
      <c r="A119" s="1" t="s">
        <v>137</v>
      </c>
      <c r="B119" s="1" t="s">
        <v>22</v>
      </c>
      <c r="C119">
        <v>28.78</v>
      </c>
      <c r="D119">
        <v>5</v>
      </c>
      <c r="E119" s="1" t="s">
        <v>51</v>
      </c>
      <c r="F119">
        <v>21</v>
      </c>
      <c r="G119" s="1" t="s">
        <v>43</v>
      </c>
    </row>
    <row r="120" spans="1:7" x14ac:dyDescent="0.35">
      <c r="A120" s="1" t="s">
        <v>138</v>
      </c>
      <c r="B120" s="1" t="s">
        <v>14</v>
      </c>
      <c r="C120">
        <v>14.42</v>
      </c>
      <c r="D120">
        <v>2</v>
      </c>
      <c r="E120" s="1" t="s">
        <v>51</v>
      </c>
      <c r="F120">
        <v>17</v>
      </c>
      <c r="G120" s="1" t="s">
        <v>42</v>
      </c>
    </row>
    <row r="121" spans="1:7" x14ac:dyDescent="0.35">
      <c r="A121" s="1" t="s">
        <v>139</v>
      </c>
      <c r="B121" s="1" t="s">
        <v>8</v>
      </c>
      <c r="C121">
        <v>56.99</v>
      </c>
      <c r="D121">
        <v>3</v>
      </c>
      <c r="E121" s="1" t="s">
        <v>51</v>
      </c>
      <c r="F121">
        <v>7</v>
      </c>
      <c r="G121" s="1" t="s">
        <v>41</v>
      </c>
    </row>
    <row r="122" spans="1:7" x14ac:dyDescent="0.35">
      <c r="A122" s="1" t="s">
        <v>136</v>
      </c>
      <c r="B122" s="1" t="s">
        <v>6</v>
      </c>
      <c r="C122">
        <v>1.73</v>
      </c>
      <c r="D122">
        <v>5</v>
      </c>
      <c r="E122" s="1" t="s">
        <v>51</v>
      </c>
      <c r="F122">
        <v>14</v>
      </c>
      <c r="G122" s="1" t="s">
        <v>43</v>
      </c>
    </row>
    <row r="123" spans="1:7" x14ac:dyDescent="0.35">
      <c r="A123" s="1" t="s">
        <v>140</v>
      </c>
      <c r="B123" s="1" t="s">
        <v>8</v>
      </c>
      <c r="C123">
        <v>17.25</v>
      </c>
      <c r="D123">
        <v>2</v>
      </c>
      <c r="E123" s="1" t="s">
        <v>51</v>
      </c>
      <c r="F123">
        <v>13</v>
      </c>
      <c r="G123" s="1" t="s">
        <v>42</v>
      </c>
    </row>
    <row r="124" spans="1:7" x14ac:dyDescent="0.35">
      <c r="A124" s="1" t="s">
        <v>137</v>
      </c>
      <c r="B124" s="1" t="s">
        <v>11</v>
      </c>
      <c r="C124">
        <v>27.14</v>
      </c>
      <c r="D124">
        <v>5</v>
      </c>
      <c r="E124" s="1" t="s">
        <v>51</v>
      </c>
      <c r="F124">
        <v>14</v>
      </c>
      <c r="G124" s="1" t="s">
        <v>43</v>
      </c>
    </row>
    <row r="125" spans="1:7" x14ac:dyDescent="0.35">
      <c r="A125" s="1" t="s">
        <v>141</v>
      </c>
      <c r="B125" s="1" t="s">
        <v>8</v>
      </c>
      <c r="C125">
        <v>12.37</v>
      </c>
      <c r="D125">
        <v>5</v>
      </c>
      <c r="E125" s="1" t="s">
        <v>68</v>
      </c>
      <c r="F125">
        <v>8</v>
      </c>
      <c r="G125" s="1" t="s">
        <v>40</v>
      </c>
    </row>
    <row r="126" spans="1:7" x14ac:dyDescent="0.35">
      <c r="A126" s="1" t="s">
        <v>142</v>
      </c>
      <c r="B126" s="1" t="s">
        <v>19</v>
      </c>
      <c r="C126">
        <v>53.77</v>
      </c>
      <c r="D126">
        <v>5</v>
      </c>
      <c r="E126" s="1" t="s">
        <v>51</v>
      </c>
      <c r="F126">
        <v>10</v>
      </c>
      <c r="G126" s="1" t="s">
        <v>40</v>
      </c>
    </row>
    <row r="127" spans="1:7" x14ac:dyDescent="0.35">
      <c r="A127" s="1" t="s">
        <v>143</v>
      </c>
      <c r="B127" s="1" t="s">
        <v>2</v>
      </c>
      <c r="C127">
        <v>1.5</v>
      </c>
      <c r="D127">
        <v>3</v>
      </c>
      <c r="E127" s="1" t="s">
        <v>51</v>
      </c>
      <c r="F127">
        <v>10</v>
      </c>
      <c r="G127" s="1" t="s">
        <v>41</v>
      </c>
    </row>
    <row r="128" spans="1:7" x14ac:dyDescent="0.35">
      <c r="A128" s="1" t="s">
        <v>144</v>
      </c>
      <c r="B128" s="1" t="s">
        <v>13</v>
      </c>
      <c r="C128">
        <v>36.93</v>
      </c>
      <c r="D128">
        <v>3</v>
      </c>
      <c r="E128" s="1" t="s">
        <v>51</v>
      </c>
      <c r="F128">
        <v>3</v>
      </c>
      <c r="G128" s="1" t="s">
        <v>41</v>
      </c>
    </row>
    <row r="129" spans="1:7" x14ac:dyDescent="0.35">
      <c r="A129" s="1" t="s">
        <v>145</v>
      </c>
      <c r="B129" s="1" t="s">
        <v>3</v>
      </c>
      <c r="C129">
        <v>39.659999999999997</v>
      </c>
      <c r="D129">
        <v>5</v>
      </c>
      <c r="E129" s="1" t="s">
        <v>51</v>
      </c>
      <c r="F129">
        <v>14</v>
      </c>
      <c r="G129" s="1" t="s">
        <v>43</v>
      </c>
    </row>
    <row r="130" spans="1:7" x14ac:dyDescent="0.35">
      <c r="A130" s="1" t="s">
        <v>139</v>
      </c>
      <c r="B130" s="1" t="s">
        <v>7</v>
      </c>
      <c r="C130">
        <v>6.76</v>
      </c>
      <c r="D130">
        <v>2</v>
      </c>
      <c r="E130" s="1" t="s">
        <v>51</v>
      </c>
      <c r="F130">
        <v>18</v>
      </c>
      <c r="G130" s="1" t="s">
        <v>42</v>
      </c>
    </row>
    <row r="131" spans="1:7" x14ac:dyDescent="0.35">
      <c r="A131" s="1" t="s">
        <v>146</v>
      </c>
      <c r="B131" s="1" t="s">
        <v>13</v>
      </c>
      <c r="C131">
        <v>5.2</v>
      </c>
      <c r="D131">
        <v>5</v>
      </c>
      <c r="E131" s="1" t="s">
        <v>51</v>
      </c>
      <c r="F131">
        <v>22</v>
      </c>
      <c r="G131" s="1" t="s">
        <v>43</v>
      </c>
    </row>
    <row r="132" spans="1:7" x14ac:dyDescent="0.35">
      <c r="A132" s="1" t="s">
        <v>147</v>
      </c>
      <c r="B132" s="1" t="s">
        <v>18</v>
      </c>
      <c r="C132">
        <v>4.42</v>
      </c>
      <c r="D132">
        <v>4</v>
      </c>
      <c r="E132" s="1" t="s">
        <v>51</v>
      </c>
      <c r="F132">
        <v>6</v>
      </c>
      <c r="G132" s="1" t="s">
        <v>40</v>
      </c>
    </row>
    <row r="133" spans="1:7" x14ac:dyDescent="0.35">
      <c r="A133" s="1" t="s">
        <v>132</v>
      </c>
      <c r="B133" s="1" t="s">
        <v>3</v>
      </c>
      <c r="C133">
        <v>40.92</v>
      </c>
      <c r="D133">
        <v>4</v>
      </c>
      <c r="E133" s="1" t="s">
        <v>51</v>
      </c>
      <c r="F133">
        <v>12</v>
      </c>
      <c r="G133" s="1" t="s">
        <v>43</v>
      </c>
    </row>
    <row r="134" spans="1:7" x14ac:dyDescent="0.35">
      <c r="A134" s="1" t="s">
        <v>129</v>
      </c>
      <c r="B134" s="1" t="s">
        <v>8</v>
      </c>
      <c r="C134">
        <v>56.93</v>
      </c>
      <c r="D134">
        <v>5</v>
      </c>
      <c r="E134" s="1" t="s">
        <v>51</v>
      </c>
      <c r="F134">
        <v>8</v>
      </c>
      <c r="G134" s="1" t="s">
        <v>40</v>
      </c>
    </row>
    <row r="135" spans="1:7" x14ac:dyDescent="0.35">
      <c r="A135" s="1" t="s">
        <v>125</v>
      </c>
      <c r="B135" s="1" t="s">
        <v>23</v>
      </c>
      <c r="C135">
        <v>41.69</v>
      </c>
      <c r="D135">
        <v>4</v>
      </c>
      <c r="E135" s="1" t="s">
        <v>51</v>
      </c>
      <c r="F135">
        <v>18</v>
      </c>
      <c r="G135" s="1" t="s">
        <v>43</v>
      </c>
    </row>
    <row r="136" spans="1:7" x14ac:dyDescent="0.35">
      <c r="A136" s="1" t="s">
        <v>123</v>
      </c>
      <c r="B136" s="1" t="s">
        <v>25</v>
      </c>
      <c r="C136">
        <v>12.72</v>
      </c>
      <c r="D136">
        <v>3</v>
      </c>
      <c r="E136" s="1" t="s">
        <v>51</v>
      </c>
      <c r="F136">
        <v>17</v>
      </c>
      <c r="G136" s="1" t="s">
        <v>42</v>
      </c>
    </row>
    <row r="137" spans="1:7" x14ac:dyDescent="0.35">
      <c r="A137" s="1" t="s">
        <v>148</v>
      </c>
      <c r="B137" s="1" t="s">
        <v>27</v>
      </c>
      <c r="C137">
        <v>43.68</v>
      </c>
      <c r="D137">
        <v>2</v>
      </c>
      <c r="E137" s="1" t="s">
        <v>51</v>
      </c>
      <c r="F137">
        <v>8</v>
      </c>
      <c r="G137" s="1" t="s">
        <v>41</v>
      </c>
    </row>
    <row r="138" spans="1:7" x14ac:dyDescent="0.35">
      <c r="A138" s="1" t="s">
        <v>148</v>
      </c>
      <c r="B138" s="1" t="s">
        <v>17</v>
      </c>
      <c r="C138">
        <v>22.09</v>
      </c>
      <c r="D138">
        <v>4</v>
      </c>
      <c r="E138" s="1" t="s">
        <v>51</v>
      </c>
      <c r="F138">
        <v>3</v>
      </c>
      <c r="G138" s="1" t="s">
        <v>40</v>
      </c>
    </row>
    <row r="139" spans="1:7" x14ac:dyDescent="0.35">
      <c r="A139" s="1" t="s">
        <v>136</v>
      </c>
      <c r="B139" s="1" t="s">
        <v>16</v>
      </c>
      <c r="C139">
        <v>35.85</v>
      </c>
      <c r="D139">
        <v>5</v>
      </c>
      <c r="E139" s="1" t="s">
        <v>51</v>
      </c>
      <c r="F139">
        <v>6</v>
      </c>
      <c r="G139" s="1" t="s">
        <v>40</v>
      </c>
    </row>
    <row r="140" spans="1:7" x14ac:dyDescent="0.35">
      <c r="A140" s="1" t="s">
        <v>149</v>
      </c>
      <c r="B140" s="1" t="s">
        <v>11</v>
      </c>
      <c r="C140">
        <v>35.020000000000003</v>
      </c>
      <c r="D140">
        <v>4</v>
      </c>
      <c r="E140" s="1" t="s">
        <v>61</v>
      </c>
      <c r="F140">
        <v>0</v>
      </c>
      <c r="G140" s="1" t="s">
        <v>40</v>
      </c>
    </row>
    <row r="141" spans="1:7" x14ac:dyDescent="0.35">
      <c r="A141" s="1" t="s">
        <v>139</v>
      </c>
      <c r="B141" s="1" t="s">
        <v>6</v>
      </c>
      <c r="C141">
        <v>28.68</v>
      </c>
      <c r="D141">
        <v>4</v>
      </c>
      <c r="E141" s="1" t="s">
        <v>51</v>
      </c>
      <c r="F141">
        <v>16</v>
      </c>
      <c r="G141" s="1" t="s">
        <v>43</v>
      </c>
    </row>
    <row r="142" spans="1:7" x14ac:dyDescent="0.35">
      <c r="A142" s="1" t="s">
        <v>145</v>
      </c>
      <c r="B142" s="1" t="s">
        <v>22</v>
      </c>
      <c r="C142">
        <v>25.32</v>
      </c>
      <c r="D142">
        <v>4</v>
      </c>
      <c r="E142" s="1" t="s">
        <v>51</v>
      </c>
      <c r="F142">
        <v>3</v>
      </c>
      <c r="G142" s="1" t="s">
        <v>40</v>
      </c>
    </row>
    <row r="143" spans="1:7" x14ac:dyDescent="0.35">
      <c r="A143" s="1" t="s">
        <v>150</v>
      </c>
      <c r="B143" s="1" t="s">
        <v>9</v>
      </c>
      <c r="C143">
        <v>7.73</v>
      </c>
      <c r="D143">
        <v>5</v>
      </c>
      <c r="E143" s="1" t="s">
        <v>51</v>
      </c>
      <c r="F143">
        <v>11</v>
      </c>
      <c r="G143" s="1" t="s">
        <v>43</v>
      </c>
    </row>
    <row r="144" spans="1:7" x14ac:dyDescent="0.35">
      <c r="A144" s="1" t="s">
        <v>151</v>
      </c>
      <c r="B144" s="1" t="s">
        <v>19</v>
      </c>
      <c r="C144">
        <v>47.1</v>
      </c>
      <c r="D144">
        <v>5</v>
      </c>
      <c r="E144" s="1" t="s">
        <v>51</v>
      </c>
      <c r="F144">
        <v>14</v>
      </c>
      <c r="G144" s="1" t="s">
        <v>43</v>
      </c>
    </row>
    <row r="145" spans="1:7" x14ac:dyDescent="0.35">
      <c r="A145" s="1" t="s">
        <v>152</v>
      </c>
      <c r="B145" s="1" t="s">
        <v>16</v>
      </c>
      <c r="C145">
        <v>11.45</v>
      </c>
      <c r="D145">
        <v>4</v>
      </c>
      <c r="E145" s="1" t="s">
        <v>51</v>
      </c>
      <c r="F145">
        <v>5</v>
      </c>
      <c r="G145" s="1" t="s">
        <v>40</v>
      </c>
    </row>
    <row r="146" spans="1:7" x14ac:dyDescent="0.35">
      <c r="A146" s="1" t="s">
        <v>129</v>
      </c>
      <c r="B146" s="1" t="s">
        <v>24</v>
      </c>
      <c r="C146">
        <v>18.63</v>
      </c>
      <c r="D146">
        <v>5</v>
      </c>
      <c r="E146" s="1" t="s">
        <v>68</v>
      </c>
      <c r="F146">
        <v>18</v>
      </c>
      <c r="G146" s="1" t="s">
        <v>43</v>
      </c>
    </row>
    <row r="147" spans="1:7" x14ac:dyDescent="0.35">
      <c r="A147" s="1" t="s">
        <v>153</v>
      </c>
      <c r="B147" s="1" t="s">
        <v>4</v>
      </c>
      <c r="C147">
        <v>42.89</v>
      </c>
      <c r="D147">
        <v>4</v>
      </c>
      <c r="E147" s="1" t="s">
        <v>68</v>
      </c>
      <c r="F147">
        <v>18</v>
      </c>
      <c r="G147" s="1" t="s">
        <v>43</v>
      </c>
    </row>
    <row r="148" spans="1:7" x14ac:dyDescent="0.35">
      <c r="A148" s="1" t="s">
        <v>154</v>
      </c>
      <c r="B148" s="1" t="s">
        <v>23</v>
      </c>
      <c r="C148">
        <v>22.16</v>
      </c>
      <c r="D148">
        <v>4</v>
      </c>
      <c r="E148" s="1" t="s">
        <v>51</v>
      </c>
      <c r="F148">
        <v>22</v>
      </c>
      <c r="G148" s="1" t="s">
        <v>43</v>
      </c>
    </row>
    <row r="149" spans="1:7" x14ac:dyDescent="0.35">
      <c r="A149" s="1" t="s">
        <v>155</v>
      </c>
      <c r="B149" s="1" t="s">
        <v>12</v>
      </c>
      <c r="C149">
        <v>12.98</v>
      </c>
      <c r="D149">
        <v>5</v>
      </c>
      <c r="E149" s="1" t="s">
        <v>68</v>
      </c>
      <c r="F149">
        <v>15</v>
      </c>
      <c r="G149" s="1" t="s">
        <v>43</v>
      </c>
    </row>
    <row r="150" spans="1:7" x14ac:dyDescent="0.35">
      <c r="A150" s="1" t="s">
        <v>156</v>
      </c>
      <c r="B150" s="1" t="s">
        <v>1</v>
      </c>
      <c r="C150">
        <v>17.46</v>
      </c>
      <c r="D150">
        <v>3</v>
      </c>
      <c r="E150" s="1" t="s">
        <v>51</v>
      </c>
      <c r="F150">
        <v>9</v>
      </c>
      <c r="G150" s="1" t="s">
        <v>41</v>
      </c>
    </row>
    <row r="151" spans="1:7" x14ac:dyDescent="0.35">
      <c r="A151" s="1" t="s">
        <v>152</v>
      </c>
      <c r="B151" s="1" t="s">
        <v>24</v>
      </c>
      <c r="C151">
        <v>5.0199999999999996</v>
      </c>
      <c r="D151">
        <v>4</v>
      </c>
      <c r="E151" s="1" t="s">
        <v>51</v>
      </c>
      <c r="F151">
        <v>18</v>
      </c>
      <c r="G151" s="1" t="s">
        <v>43</v>
      </c>
    </row>
    <row r="152" spans="1:7" x14ac:dyDescent="0.35">
      <c r="A152" s="1" t="s">
        <v>157</v>
      </c>
      <c r="B152" s="1" t="s">
        <v>16</v>
      </c>
      <c r="C152">
        <v>37.64</v>
      </c>
      <c r="D152">
        <v>5</v>
      </c>
      <c r="E152" s="1" t="s">
        <v>51</v>
      </c>
      <c r="F152">
        <v>11</v>
      </c>
      <c r="G152" s="1" t="s">
        <v>43</v>
      </c>
    </row>
    <row r="153" spans="1:7" x14ac:dyDescent="0.35">
      <c r="A153" s="1" t="s">
        <v>158</v>
      </c>
      <c r="B153" s="1" t="s">
        <v>30</v>
      </c>
      <c r="C153">
        <v>32.74</v>
      </c>
      <c r="D153">
        <v>1</v>
      </c>
      <c r="E153" s="1" t="s">
        <v>51</v>
      </c>
      <c r="F153">
        <v>22</v>
      </c>
      <c r="G153" s="1" t="s">
        <v>42</v>
      </c>
    </row>
    <row r="154" spans="1:7" x14ac:dyDescent="0.35">
      <c r="A154" s="1" t="s">
        <v>159</v>
      </c>
      <c r="B154" s="1" t="s">
        <v>8</v>
      </c>
      <c r="C154">
        <v>47.85</v>
      </c>
      <c r="D154">
        <v>4</v>
      </c>
      <c r="E154" s="1" t="s">
        <v>51</v>
      </c>
      <c r="F154">
        <v>8</v>
      </c>
      <c r="G154" s="1" t="s">
        <v>40</v>
      </c>
    </row>
    <row r="155" spans="1:7" x14ac:dyDescent="0.35">
      <c r="A155" s="1" t="s">
        <v>160</v>
      </c>
      <c r="B155" s="1" t="s">
        <v>4</v>
      </c>
      <c r="C155">
        <v>18.78</v>
      </c>
      <c r="D155">
        <v>2</v>
      </c>
      <c r="E155" s="1" t="s">
        <v>51</v>
      </c>
      <c r="F155">
        <v>15</v>
      </c>
      <c r="G155" s="1" t="s">
        <v>42</v>
      </c>
    </row>
    <row r="156" spans="1:7" x14ac:dyDescent="0.35">
      <c r="A156" s="1" t="s">
        <v>161</v>
      </c>
      <c r="B156" s="1" t="s">
        <v>3</v>
      </c>
      <c r="C156">
        <v>33.65</v>
      </c>
      <c r="D156">
        <v>4</v>
      </c>
      <c r="E156" s="1" t="s">
        <v>51</v>
      </c>
      <c r="F156">
        <v>1</v>
      </c>
      <c r="G156" s="1" t="s">
        <v>40</v>
      </c>
    </row>
    <row r="157" spans="1:7" x14ac:dyDescent="0.35">
      <c r="A157" s="1" t="s">
        <v>162</v>
      </c>
      <c r="B157" s="1" t="s">
        <v>14</v>
      </c>
      <c r="C157">
        <v>51.27</v>
      </c>
      <c r="D157">
        <v>5</v>
      </c>
      <c r="E157" s="1" t="s">
        <v>61</v>
      </c>
      <c r="F157">
        <v>0</v>
      </c>
      <c r="G157" s="1" t="s">
        <v>40</v>
      </c>
    </row>
    <row r="158" spans="1:7" x14ac:dyDescent="0.35">
      <c r="A158" s="1" t="s">
        <v>163</v>
      </c>
      <c r="B158" s="1" t="s">
        <v>13</v>
      </c>
      <c r="C158">
        <v>39.9</v>
      </c>
      <c r="D158">
        <v>4</v>
      </c>
      <c r="E158" s="1" t="s">
        <v>51</v>
      </c>
      <c r="F158">
        <v>19</v>
      </c>
      <c r="G158" s="1" t="s">
        <v>43</v>
      </c>
    </row>
    <row r="159" spans="1:7" x14ac:dyDescent="0.35">
      <c r="A159" s="1" t="s">
        <v>164</v>
      </c>
      <c r="B159" s="1" t="s">
        <v>8</v>
      </c>
      <c r="C159">
        <v>39.08</v>
      </c>
      <c r="D159">
        <v>2</v>
      </c>
      <c r="E159" s="1" t="s">
        <v>51</v>
      </c>
      <c r="F159">
        <v>5</v>
      </c>
      <c r="G159" s="1" t="s">
        <v>41</v>
      </c>
    </row>
    <row r="160" spans="1:7" x14ac:dyDescent="0.35">
      <c r="A160" s="1" t="s">
        <v>165</v>
      </c>
      <c r="B160" s="1" t="s">
        <v>18</v>
      </c>
      <c r="C160">
        <v>46.73</v>
      </c>
      <c r="D160">
        <v>4</v>
      </c>
      <c r="E160" s="1" t="s">
        <v>51</v>
      </c>
      <c r="F160">
        <v>19</v>
      </c>
      <c r="G160" s="1" t="s">
        <v>43</v>
      </c>
    </row>
    <row r="161" spans="1:7" x14ac:dyDescent="0.35">
      <c r="A161" s="1" t="s">
        <v>162</v>
      </c>
      <c r="B161" s="1" t="s">
        <v>5</v>
      </c>
      <c r="C161">
        <v>44.41</v>
      </c>
      <c r="D161">
        <v>4</v>
      </c>
      <c r="E161" s="1" t="s">
        <v>51</v>
      </c>
      <c r="F161">
        <v>8</v>
      </c>
      <c r="G161" s="1" t="s">
        <v>40</v>
      </c>
    </row>
    <row r="162" spans="1:7" x14ac:dyDescent="0.35">
      <c r="A162" s="1" t="s">
        <v>166</v>
      </c>
      <c r="B162" s="1" t="s">
        <v>11</v>
      </c>
      <c r="C162">
        <v>16.53</v>
      </c>
      <c r="D162">
        <v>4</v>
      </c>
      <c r="E162" s="1" t="s">
        <v>51</v>
      </c>
      <c r="F162">
        <v>21</v>
      </c>
      <c r="G162" s="1" t="s">
        <v>43</v>
      </c>
    </row>
    <row r="163" spans="1:7" x14ac:dyDescent="0.35">
      <c r="A163" s="1" t="s">
        <v>167</v>
      </c>
      <c r="B163" s="1" t="s">
        <v>24</v>
      </c>
      <c r="C163">
        <v>38.96</v>
      </c>
      <c r="D163">
        <v>3</v>
      </c>
      <c r="E163" s="1" t="s">
        <v>51</v>
      </c>
      <c r="F163">
        <v>12</v>
      </c>
      <c r="G163" s="1" t="s">
        <v>42</v>
      </c>
    </row>
    <row r="164" spans="1:7" x14ac:dyDescent="0.35">
      <c r="A164" s="1" t="s">
        <v>168</v>
      </c>
      <c r="B164" s="1" t="s">
        <v>29</v>
      </c>
      <c r="C164">
        <v>34.76</v>
      </c>
      <c r="D164">
        <v>2</v>
      </c>
      <c r="E164" s="1" t="s">
        <v>51</v>
      </c>
      <c r="F164">
        <v>6</v>
      </c>
      <c r="G164" s="1" t="s">
        <v>41</v>
      </c>
    </row>
    <row r="165" spans="1:7" x14ac:dyDescent="0.35">
      <c r="A165" s="1" t="s">
        <v>169</v>
      </c>
      <c r="B165" s="1" t="s">
        <v>30</v>
      </c>
      <c r="C165">
        <v>11.73</v>
      </c>
      <c r="D165">
        <v>4</v>
      </c>
      <c r="E165" s="1" t="s">
        <v>51</v>
      </c>
      <c r="F165">
        <v>22</v>
      </c>
      <c r="G165" s="1" t="s">
        <v>43</v>
      </c>
    </row>
    <row r="166" spans="1:7" x14ac:dyDescent="0.35">
      <c r="A166" s="1" t="s">
        <v>170</v>
      </c>
      <c r="B166" s="1" t="s">
        <v>24</v>
      </c>
      <c r="C166">
        <v>45.38</v>
      </c>
      <c r="D166">
        <v>2</v>
      </c>
      <c r="E166" s="1" t="s">
        <v>51</v>
      </c>
      <c r="F166">
        <v>20</v>
      </c>
      <c r="G166" s="1" t="s">
        <v>42</v>
      </c>
    </row>
    <row r="167" spans="1:7" x14ac:dyDescent="0.35">
      <c r="A167" s="1" t="s">
        <v>171</v>
      </c>
      <c r="B167" s="1" t="s">
        <v>14</v>
      </c>
      <c r="C167">
        <v>6.76</v>
      </c>
      <c r="D167">
        <v>2</v>
      </c>
      <c r="E167" s="1" t="s">
        <v>51</v>
      </c>
      <c r="F167">
        <v>8</v>
      </c>
      <c r="G167" s="1" t="s">
        <v>41</v>
      </c>
    </row>
    <row r="168" spans="1:7" x14ac:dyDescent="0.35">
      <c r="A168" s="1" t="s">
        <v>159</v>
      </c>
      <c r="B168" s="1" t="s">
        <v>14</v>
      </c>
      <c r="C168">
        <v>15.96</v>
      </c>
      <c r="D168">
        <v>5</v>
      </c>
      <c r="E168" s="1" t="s">
        <v>51</v>
      </c>
      <c r="F168">
        <v>12</v>
      </c>
      <c r="G168" s="1" t="s">
        <v>43</v>
      </c>
    </row>
    <row r="169" spans="1:7" x14ac:dyDescent="0.35">
      <c r="A169" s="1" t="s">
        <v>172</v>
      </c>
      <c r="B169" s="1" t="s">
        <v>10</v>
      </c>
      <c r="C169">
        <v>27.34</v>
      </c>
      <c r="D169">
        <v>4</v>
      </c>
      <c r="E169" s="1" t="s">
        <v>51</v>
      </c>
      <c r="F169">
        <v>7</v>
      </c>
      <c r="G169" s="1" t="s">
        <v>40</v>
      </c>
    </row>
    <row r="170" spans="1:7" x14ac:dyDescent="0.35">
      <c r="A170" s="1" t="s">
        <v>173</v>
      </c>
      <c r="B170" s="1" t="s">
        <v>11</v>
      </c>
      <c r="C170">
        <v>23.67</v>
      </c>
      <c r="D170">
        <v>5</v>
      </c>
      <c r="E170" s="1" t="s">
        <v>51</v>
      </c>
      <c r="F170">
        <v>17</v>
      </c>
      <c r="G170" s="1" t="s">
        <v>43</v>
      </c>
    </row>
    <row r="171" spans="1:7" x14ac:dyDescent="0.35">
      <c r="A171" s="1" t="s">
        <v>169</v>
      </c>
      <c r="B171" s="1" t="s">
        <v>21</v>
      </c>
      <c r="C171">
        <v>15.11</v>
      </c>
      <c r="D171">
        <v>1</v>
      </c>
      <c r="E171" s="1" t="s">
        <v>51</v>
      </c>
      <c r="F171">
        <v>9</v>
      </c>
      <c r="G171" s="1" t="s">
        <v>41</v>
      </c>
    </row>
    <row r="172" spans="1:7" x14ac:dyDescent="0.35">
      <c r="A172" s="1" t="s">
        <v>174</v>
      </c>
      <c r="B172" s="1" t="s">
        <v>16</v>
      </c>
      <c r="C172">
        <v>24.83</v>
      </c>
      <c r="D172">
        <v>1</v>
      </c>
      <c r="E172" s="1" t="s">
        <v>51</v>
      </c>
      <c r="F172">
        <v>17</v>
      </c>
      <c r="G172" s="1" t="s">
        <v>42</v>
      </c>
    </row>
    <row r="173" spans="1:7" x14ac:dyDescent="0.35">
      <c r="A173" s="1" t="s">
        <v>175</v>
      </c>
      <c r="B173" s="1" t="s">
        <v>9</v>
      </c>
      <c r="C173">
        <v>53.89</v>
      </c>
      <c r="D173">
        <v>5</v>
      </c>
      <c r="E173" s="1" t="s">
        <v>51</v>
      </c>
      <c r="F173">
        <v>9</v>
      </c>
      <c r="G173" s="1" t="s">
        <v>40</v>
      </c>
    </row>
    <row r="174" spans="1:7" x14ac:dyDescent="0.35">
      <c r="A174" s="1" t="s">
        <v>173</v>
      </c>
      <c r="B174" s="1" t="s">
        <v>25</v>
      </c>
      <c r="C174">
        <v>19.52</v>
      </c>
      <c r="D174">
        <v>3</v>
      </c>
      <c r="E174" s="1" t="s">
        <v>51</v>
      </c>
      <c r="F174">
        <v>6</v>
      </c>
      <c r="G174" s="1" t="s">
        <v>41</v>
      </c>
    </row>
    <row r="175" spans="1:7" x14ac:dyDescent="0.35">
      <c r="A175" s="1" t="s">
        <v>173</v>
      </c>
      <c r="B175" s="1" t="s">
        <v>13</v>
      </c>
      <c r="C175">
        <v>1.39</v>
      </c>
      <c r="D175">
        <v>5</v>
      </c>
      <c r="E175" s="1" t="s">
        <v>61</v>
      </c>
      <c r="F175">
        <v>0</v>
      </c>
      <c r="G175" s="1" t="s">
        <v>40</v>
      </c>
    </row>
    <row r="176" spans="1:7" x14ac:dyDescent="0.35">
      <c r="A176" s="1" t="s">
        <v>176</v>
      </c>
      <c r="B176" s="1" t="s">
        <v>23</v>
      </c>
      <c r="C176">
        <v>30.64</v>
      </c>
      <c r="D176">
        <v>4</v>
      </c>
      <c r="E176" s="1" t="s">
        <v>51</v>
      </c>
      <c r="F176">
        <v>6</v>
      </c>
      <c r="G176" s="1" t="s">
        <v>40</v>
      </c>
    </row>
    <row r="177" spans="1:7" x14ac:dyDescent="0.35">
      <c r="A177" s="1" t="s">
        <v>170</v>
      </c>
      <c r="B177" s="1" t="s">
        <v>1</v>
      </c>
      <c r="C177">
        <v>13.42</v>
      </c>
      <c r="D177">
        <v>5</v>
      </c>
      <c r="E177" s="1" t="s">
        <v>51</v>
      </c>
      <c r="F177">
        <v>13</v>
      </c>
      <c r="G177" s="1" t="s">
        <v>43</v>
      </c>
    </row>
    <row r="178" spans="1:7" x14ac:dyDescent="0.35">
      <c r="A178" s="1" t="s">
        <v>177</v>
      </c>
      <c r="B178" s="1" t="s">
        <v>29</v>
      </c>
      <c r="C178">
        <v>51.11</v>
      </c>
      <c r="D178">
        <v>4</v>
      </c>
      <c r="E178" s="1" t="s">
        <v>51</v>
      </c>
      <c r="F178">
        <v>16</v>
      </c>
      <c r="G178" s="1" t="s">
        <v>43</v>
      </c>
    </row>
    <row r="179" spans="1:7" x14ac:dyDescent="0.35">
      <c r="A179" s="1" t="s">
        <v>178</v>
      </c>
      <c r="B179" s="1" t="s">
        <v>15</v>
      </c>
      <c r="C179">
        <v>21.71</v>
      </c>
      <c r="D179">
        <v>4</v>
      </c>
      <c r="E179" s="1" t="s">
        <v>51</v>
      </c>
      <c r="F179">
        <v>19</v>
      </c>
      <c r="G179" s="1" t="s">
        <v>43</v>
      </c>
    </row>
    <row r="180" spans="1:7" x14ac:dyDescent="0.35">
      <c r="A180" s="1" t="s">
        <v>179</v>
      </c>
      <c r="B180" s="1" t="s">
        <v>18</v>
      </c>
      <c r="C180">
        <v>37.119999999999997</v>
      </c>
      <c r="D180">
        <v>4</v>
      </c>
      <c r="E180" s="1" t="s">
        <v>68</v>
      </c>
      <c r="F180">
        <v>3</v>
      </c>
      <c r="G180" s="1" t="s">
        <v>40</v>
      </c>
    </row>
    <row r="181" spans="1:7" x14ac:dyDescent="0.35">
      <c r="A181" s="1" t="s">
        <v>180</v>
      </c>
      <c r="B181" s="1" t="s">
        <v>4</v>
      </c>
      <c r="C181">
        <v>15.84</v>
      </c>
      <c r="D181">
        <v>5</v>
      </c>
      <c r="E181" s="1" t="s">
        <v>51</v>
      </c>
      <c r="F181">
        <v>7</v>
      </c>
      <c r="G181" s="1" t="s">
        <v>40</v>
      </c>
    </row>
    <row r="182" spans="1:7" x14ac:dyDescent="0.35">
      <c r="A182" s="1" t="s">
        <v>169</v>
      </c>
      <c r="B182" s="1" t="s">
        <v>18</v>
      </c>
      <c r="C182">
        <v>8.4600000000000009</v>
      </c>
      <c r="D182">
        <v>4</v>
      </c>
      <c r="E182" s="1" t="s">
        <v>51</v>
      </c>
      <c r="F182">
        <v>2</v>
      </c>
      <c r="G182" s="1" t="s">
        <v>40</v>
      </c>
    </row>
    <row r="183" spans="1:7" x14ac:dyDescent="0.35">
      <c r="A183" s="1" t="s">
        <v>181</v>
      </c>
      <c r="B183" s="1" t="s">
        <v>18</v>
      </c>
      <c r="C183">
        <v>32.49</v>
      </c>
      <c r="D183">
        <v>5</v>
      </c>
      <c r="E183" s="1" t="s">
        <v>51</v>
      </c>
      <c r="F183">
        <v>8</v>
      </c>
      <c r="G183" s="1" t="s">
        <v>40</v>
      </c>
    </row>
    <row r="184" spans="1:7" x14ac:dyDescent="0.35">
      <c r="A184" s="1" t="s">
        <v>182</v>
      </c>
      <c r="B184" s="1" t="s">
        <v>7</v>
      </c>
      <c r="C184">
        <v>36.22</v>
      </c>
      <c r="D184">
        <v>5</v>
      </c>
      <c r="E184" s="1" t="s">
        <v>51</v>
      </c>
      <c r="F184">
        <v>7</v>
      </c>
      <c r="G184" s="1" t="s">
        <v>40</v>
      </c>
    </row>
    <row r="185" spans="1:7" x14ac:dyDescent="0.35">
      <c r="A185" s="1" t="s">
        <v>171</v>
      </c>
      <c r="B185" s="1" t="s">
        <v>2</v>
      </c>
      <c r="C185">
        <v>16.86</v>
      </c>
      <c r="D185">
        <v>3</v>
      </c>
      <c r="E185" s="1" t="s">
        <v>51</v>
      </c>
      <c r="F185">
        <v>5</v>
      </c>
      <c r="G185" s="1" t="s">
        <v>41</v>
      </c>
    </row>
    <row r="186" spans="1:7" x14ac:dyDescent="0.35">
      <c r="A186" s="1" t="s">
        <v>166</v>
      </c>
      <c r="B186" s="1" t="s">
        <v>25</v>
      </c>
      <c r="C186">
        <v>13.81</v>
      </c>
      <c r="D186">
        <v>4</v>
      </c>
      <c r="E186" s="1" t="s">
        <v>51</v>
      </c>
      <c r="F186">
        <v>16</v>
      </c>
      <c r="G186" s="1" t="s">
        <v>43</v>
      </c>
    </row>
    <row r="187" spans="1:7" x14ac:dyDescent="0.35">
      <c r="A187" s="1" t="s">
        <v>183</v>
      </c>
      <c r="B187" s="1" t="s">
        <v>10</v>
      </c>
      <c r="C187">
        <v>23.7</v>
      </c>
      <c r="D187">
        <v>5</v>
      </c>
      <c r="E187" s="1" t="s">
        <v>51</v>
      </c>
      <c r="F187">
        <v>2</v>
      </c>
      <c r="G187" s="1" t="s">
        <v>40</v>
      </c>
    </row>
    <row r="188" spans="1:7" x14ac:dyDescent="0.35">
      <c r="A188" s="1" t="s">
        <v>161</v>
      </c>
      <c r="B188" s="1" t="s">
        <v>23</v>
      </c>
      <c r="C188">
        <v>51.95</v>
      </c>
      <c r="D188">
        <v>3</v>
      </c>
      <c r="E188" s="1" t="s">
        <v>51</v>
      </c>
      <c r="F188">
        <v>21</v>
      </c>
      <c r="G188" s="1" t="s">
        <v>42</v>
      </c>
    </row>
    <row r="189" spans="1:7" x14ac:dyDescent="0.35">
      <c r="A189" s="1" t="s">
        <v>184</v>
      </c>
      <c r="B189" s="1" t="s">
        <v>30</v>
      </c>
      <c r="C189">
        <v>37.880000000000003</v>
      </c>
      <c r="D189">
        <v>2</v>
      </c>
      <c r="E189" s="1" t="s">
        <v>51</v>
      </c>
      <c r="F189">
        <v>18</v>
      </c>
      <c r="G189" s="1" t="s">
        <v>42</v>
      </c>
    </row>
    <row r="190" spans="1:7" x14ac:dyDescent="0.35">
      <c r="A190" s="1" t="s">
        <v>169</v>
      </c>
      <c r="B190" s="1" t="s">
        <v>26</v>
      </c>
      <c r="C190">
        <v>29.91</v>
      </c>
      <c r="D190">
        <v>4</v>
      </c>
      <c r="E190" s="1" t="s">
        <v>51</v>
      </c>
      <c r="F190">
        <v>11</v>
      </c>
      <c r="G190" s="1" t="s">
        <v>43</v>
      </c>
    </row>
    <row r="191" spans="1:7" x14ac:dyDescent="0.35">
      <c r="A191" s="1" t="s">
        <v>183</v>
      </c>
      <c r="B191" s="1" t="s">
        <v>30</v>
      </c>
      <c r="C191">
        <v>37.590000000000003</v>
      </c>
      <c r="D191">
        <v>3</v>
      </c>
      <c r="E191" s="1" t="s">
        <v>51</v>
      </c>
      <c r="F191">
        <v>18</v>
      </c>
      <c r="G191" s="1" t="s">
        <v>42</v>
      </c>
    </row>
    <row r="192" spans="1:7" x14ac:dyDescent="0.35">
      <c r="A192" s="1" t="s">
        <v>185</v>
      </c>
      <c r="B192" s="1" t="s">
        <v>23</v>
      </c>
      <c r="C192">
        <v>34.68</v>
      </c>
      <c r="D192">
        <v>5</v>
      </c>
      <c r="E192" s="1" t="s">
        <v>51</v>
      </c>
      <c r="F192">
        <v>17</v>
      </c>
      <c r="G192" s="1" t="s">
        <v>43</v>
      </c>
    </row>
    <row r="193" spans="1:7" x14ac:dyDescent="0.35">
      <c r="A193" s="1" t="s">
        <v>186</v>
      </c>
      <c r="B193" s="1" t="s">
        <v>2</v>
      </c>
      <c r="C193">
        <v>42.79</v>
      </c>
      <c r="D193">
        <v>5</v>
      </c>
      <c r="E193" s="1" t="s">
        <v>51</v>
      </c>
      <c r="F193">
        <v>2</v>
      </c>
      <c r="G193" s="1" t="s">
        <v>40</v>
      </c>
    </row>
    <row r="194" spans="1:7" x14ac:dyDescent="0.35">
      <c r="A194" s="1" t="s">
        <v>187</v>
      </c>
      <c r="B194" s="1" t="s">
        <v>14</v>
      </c>
      <c r="C194">
        <v>22.12</v>
      </c>
      <c r="D194">
        <v>4</v>
      </c>
      <c r="E194" s="1" t="s">
        <v>51</v>
      </c>
      <c r="F194">
        <v>4</v>
      </c>
      <c r="G194" s="1" t="s">
        <v>40</v>
      </c>
    </row>
    <row r="195" spans="1:7" x14ac:dyDescent="0.35">
      <c r="A195" s="1" t="s">
        <v>187</v>
      </c>
      <c r="B195" s="1" t="s">
        <v>14</v>
      </c>
      <c r="C195">
        <v>33.19</v>
      </c>
      <c r="D195">
        <v>4</v>
      </c>
      <c r="E195" s="1" t="s">
        <v>51</v>
      </c>
      <c r="F195">
        <v>9</v>
      </c>
      <c r="G195" s="1" t="s">
        <v>40</v>
      </c>
    </row>
    <row r="196" spans="1:7" x14ac:dyDescent="0.35">
      <c r="A196" s="1" t="s">
        <v>188</v>
      </c>
      <c r="B196" s="1" t="s">
        <v>16</v>
      </c>
      <c r="C196">
        <v>33.659999999999997</v>
      </c>
      <c r="D196">
        <v>4</v>
      </c>
      <c r="E196" s="1" t="s">
        <v>61</v>
      </c>
      <c r="F196">
        <v>0</v>
      </c>
      <c r="G196" s="1" t="s">
        <v>40</v>
      </c>
    </row>
    <row r="197" spans="1:7" x14ac:dyDescent="0.35">
      <c r="A197" s="1" t="s">
        <v>174</v>
      </c>
      <c r="B197" s="1" t="s">
        <v>26</v>
      </c>
      <c r="C197">
        <v>42.46</v>
      </c>
      <c r="D197">
        <v>5</v>
      </c>
      <c r="E197" s="1" t="s">
        <v>51</v>
      </c>
      <c r="F197">
        <v>21</v>
      </c>
      <c r="G197" s="1" t="s">
        <v>43</v>
      </c>
    </row>
    <row r="198" spans="1:7" x14ac:dyDescent="0.35">
      <c r="A198" s="1" t="s">
        <v>189</v>
      </c>
      <c r="B198" s="1" t="s">
        <v>22</v>
      </c>
      <c r="C198">
        <v>4.1900000000000004</v>
      </c>
      <c r="D198">
        <v>4</v>
      </c>
      <c r="E198" s="1" t="s">
        <v>51</v>
      </c>
      <c r="F198">
        <v>19</v>
      </c>
      <c r="G198" s="1" t="s">
        <v>43</v>
      </c>
    </row>
    <row r="199" spans="1:7" x14ac:dyDescent="0.35">
      <c r="A199" s="1" t="s">
        <v>184</v>
      </c>
      <c r="B199" s="1" t="s">
        <v>22</v>
      </c>
      <c r="C199">
        <v>16.489999999999998</v>
      </c>
      <c r="D199">
        <v>4</v>
      </c>
      <c r="E199" s="1" t="s">
        <v>51</v>
      </c>
      <c r="F199">
        <v>5</v>
      </c>
      <c r="G199" s="1" t="s">
        <v>40</v>
      </c>
    </row>
    <row r="200" spans="1:7" x14ac:dyDescent="0.35">
      <c r="A200" s="1" t="s">
        <v>159</v>
      </c>
      <c r="B200" s="1" t="s">
        <v>28</v>
      </c>
      <c r="C200">
        <v>19.920000000000002</v>
      </c>
      <c r="D200">
        <v>4</v>
      </c>
      <c r="E200" s="1" t="s">
        <v>51</v>
      </c>
      <c r="F200">
        <v>10</v>
      </c>
      <c r="G200" s="1" t="s">
        <v>40</v>
      </c>
    </row>
    <row r="201" spans="1:7" x14ac:dyDescent="0.35">
      <c r="A201" s="1" t="s">
        <v>161</v>
      </c>
      <c r="B201" s="1" t="s">
        <v>19</v>
      </c>
      <c r="C201">
        <v>49.38</v>
      </c>
      <c r="D201">
        <v>1</v>
      </c>
      <c r="E201" s="1" t="s">
        <v>51</v>
      </c>
      <c r="F201">
        <v>4</v>
      </c>
      <c r="G201" s="1" t="s">
        <v>41</v>
      </c>
    </row>
    <row r="202" spans="1:7" x14ac:dyDescent="0.35">
      <c r="A202" s="1" t="s">
        <v>190</v>
      </c>
      <c r="B202" s="1" t="s">
        <v>23</v>
      </c>
      <c r="C202">
        <v>17.75</v>
      </c>
      <c r="D202">
        <v>5</v>
      </c>
      <c r="E202" s="1" t="s">
        <v>51</v>
      </c>
      <c r="F202">
        <v>2</v>
      </c>
      <c r="G202" s="1" t="s">
        <v>40</v>
      </c>
    </row>
    <row r="203" spans="1:7" x14ac:dyDescent="0.35">
      <c r="A203" s="1" t="s">
        <v>191</v>
      </c>
      <c r="B203" s="1" t="s">
        <v>13</v>
      </c>
      <c r="C203">
        <v>32.36</v>
      </c>
      <c r="D203">
        <v>3</v>
      </c>
      <c r="E203" s="1" t="s">
        <v>51</v>
      </c>
      <c r="F203">
        <v>15</v>
      </c>
      <c r="G203" s="1" t="s">
        <v>42</v>
      </c>
    </row>
    <row r="204" spans="1:7" x14ac:dyDescent="0.35">
      <c r="A204" s="1" t="s">
        <v>192</v>
      </c>
      <c r="B204" s="1" t="s">
        <v>22</v>
      </c>
      <c r="C204">
        <v>53.52</v>
      </c>
      <c r="D204">
        <v>5</v>
      </c>
      <c r="E204" s="1" t="s">
        <v>51</v>
      </c>
      <c r="F204">
        <v>18</v>
      </c>
      <c r="G204" s="1" t="s">
        <v>43</v>
      </c>
    </row>
    <row r="205" spans="1:7" x14ac:dyDescent="0.35">
      <c r="A205" s="1" t="s">
        <v>193</v>
      </c>
      <c r="B205" s="1" t="s">
        <v>5</v>
      </c>
      <c r="C205">
        <v>13.2</v>
      </c>
      <c r="D205">
        <v>2</v>
      </c>
      <c r="E205" s="1" t="s">
        <v>51</v>
      </c>
      <c r="F205">
        <v>7</v>
      </c>
      <c r="G205" s="1" t="s">
        <v>41</v>
      </c>
    </row>
    <row r="206" spans="1:7" x14ac:dyDescent="0.35">
      <c r="A206" s="1" t="s">
        <v>194</v>
      </c>
      <c r="B206" s="1" t="s">
        <v>11</v>
      </c>
      <c r="C206">
        <v>2.74</v>
      </c>
      <c r="D206">
        <v>3</v>
      </c>
      <c r="E206" s="1" t="s">
        <v>61</v>
      </c>
      <c r="F206">
        <v>0</v>
      </c>
      <c r="G206" s="1" t="s">
        <v>41</v>
      </c>
    </row>
    <row r="207" spans="1:7" x14ac:dyDescent="0.35">
      <c r="A207" s="1" t="s">
        <v>195</v>
      </c>
      <c r="B207" s="1" t="s">
        <v>3</v>
      </c>
      <c r="C207">
        <v>22.19</v>
      </c>
      <c r="D207">
        <v>4</v>
      </c>
      <c r="E207" s="1" t="s">
        <v>51</v>
      </c>
      <c r="F207">
        <v>17</v>
      </c>
      <c r="G207" s="1" t="s">
        <v>43</v>
      </c>
    </row>
    <row r="208" spans="1:7" x14ac:dyDescent="0.35">
      <c r="A208" s="1" t="s">
        <v>196</v>
      </c>
      <c r="B208" s="1" t="s">
        <v>8</v>
      </c>
      <c r="C208">
        <v>55.69</v>
      </c>
      <c r="D208">
        <v>5</v>
      </c>
      <c r="E208" s="1" t="s">
        <v>68</v>
      </c>
      <c r="F208">
        <v>16</v>
      </c>
      <c r="G208" s="1" t="s">
        <v>43</v>
      </c>
    </row>
    <row r="209" spans="1:7" x14ac:dyDescent="0.35">
      <c r="A209" s="1" t="s">
        <v>197</v>
      </c>
      <c r="B209" s="1" t="s">
        <v>9</v>
      </c>
      <c r="C209">
        <v>49.79</v>
      </c>
      <c r="D209">
        <v>1</v>
      </c>
      <c r="E209" s="1" t="s">
        <v>61</v>
      </c>
      <c r="F209">
        <v>0</v>
      </c>
      <c r="G209" s="1" t="s">
        <v>41</v>
      </c>
    </row>
    <row r="210" spans="1:7" x14ac:dyDescent="0.35">
      <c r="A210" s="1" t="s">
        <v>196</v>
      </c>
      <c r="B210" s="1" t="s">
        <v>5</v>
      </c>
      <c r="C210">
        <v>28.35</v>
      </c>
      <c r="D210">
        <v>4</v>
      </c>
      <c r="E210" s="1" t="s">
        <v>51</v>
      </c>
      <c r="F210">
        <v>17</v>
      </c>
      <c r="G210" s="1" t="s">
        <v>43</v>
      </c>
    </row>
    <row r="211" spans="1:7" x14ac:dyDescent="0.35">
      <c r="A211" s="1" t="s">
        <v>198</v>
      </c>
      <c r="B211" s="1" t="s">
        <v>26</v>
      </c>
      <c r="C211">
        <v>44.26</v>
      </c>
      <c r="D211">
        <v>2</v>
      </c>
      <c r="E211" s="1" t="s">
        <v>51</v>
      </c>
      <c r="F211">
        <v>21</v>
      </c>
      <c r="G211" s="1" t="s">
        <v>42</v>
      </c>
    </row>
    <row r="212" spans="1:7" x14ac:dyDescent="0.35">
      <c r="A212" s="1" t="s">
        <v>199</v>
      </c>
      <c r="B212" s="1" t="s">
        <v>1</v>
      </c>
      <c r="C212">
        <v>19.170000000000002</v>
      </c>
      <c r="D212">
        <v>5</v>
      </c>
      <c r="E212" s="1" t="s">
        <v>61</v>
      </c>
      <c r="F212">
        <v>0</v>
      </c>
      <c r="G212" s="1" t="s">
        <v>40</v>
      </c>
    </row>
    <row r="213" spans="1:7" x14ac:dyDescent="0.35">
      <c r="A213" s="1" t="s">
        <v>196</v>
      </c>
      <c r="B213" s="1" t="s">
        <v>13</v>
      </c>
      <c r="C213">
        <v>36.4</v>
      </c>
      <c r="D213">
        <v>3</v>
      </c>
      <c r="E213" s="1" t="s">
        <v>51</v>
      </c>
      <c r="F213">
        <v>20</v>
      </c>
      <c r="G213" s="1" t="s">
        <v>42</v>
      </c>
    </row>
    <row r="214" spans="1:7" x14ac:dyDescent="0.35">
      <c r="A214" s="1" t="s">
        <v>200</v>
      </c>
      <c r="B214" s="1" t="s">
        <v>4</v>
      </c>
      <c r="C214">
        <v>41.79</v>
      </c>
      <c r="D214">
        <v>4</v>
      </c>
      <c r="E214" s="1" t="s">
        <v>51</v>
      </c>
      <c r="F214">
        <v>6</v>
      </c>
      <c r="G214" s="1" t="s">
        <v>40</v>
      </c>
    </row>
    <row r="215" spans="1:7" x14ac:dyDescent="0.35">
      <c r="A215" s="1" t="s">
        <v>201</v>
      </c>
      <c r="B215" s="1" t="s">
        <v>28</v>
      </c>
      <c r="C215">
        <v>42.05</v>
      </c>
      <c r="D215">
        <v>4</v>
      </c>
      <c r="E215" s="1" t="s">
        <v>51</v>
      </c>
      <c r="F215">
        <v>21</v>
      </c>
      <c r="G215" s="1" t="s">
        <v>43</v>
      </c>
    </row>
    <row r="216" spans="1:7" x14ac:dyDescent="0.35">
      <c r="A216" s="1" t="s">
        <v>196</v>
      </c>
      <c r="B216" s="1" t="s">
        <v>2</v>
      </c>
      <c r="C216">
        <v>11.61</v>
      </c>
      <c r="D216">
        <v>4</v>
      </c>
      <c r="E216" s="1" t="s">
        <v>51</v>
      </c>
      <c r="F216">
        <v>7</v>
      </c>
      <c r="G216" s="1" t="s">
        <v>40</v>
      </c>
    </row>
    <row r="217" spans="1:7" x14ac:dyDescent="0.35">
      <c r="A217" s="1" t="s">
        <v>202</v>
      </c>
      <c r="B217" s="1" t="s">
        <v>24</v>
      </c>
      <c r="C217">
        <v>33.44</v>
      </c>
      <c r="D217">
        <v>5</v>
      </c>
      <c r="E217" s="1" t="s">
        <v>51</v>
      </c>
      <c r="F217">
        <v>11</v>
      </c>
      <c r="G217" s="1" t="s">
        <v>43</v>
      </c>
    </row>
    <row r="218" spans="1:7" x14ac:dyDescent="0.35">
      <c r="A218" s="1" t="s">
        <v>194</v>
      </c>
      <c r="B218" s="1" t="s">
        <v>2</v>
      </c>
      <c r="C218">
        <v>49.03</v>
      </c>
      <c r="D218">
        <v>5</v>
      </c>
      <c r="E218" s="1" t="s">
        <v>51</v>
      </c>
      <c r="F218">
        <v>17</v>
      </c>
      <c r="G218" s="1" t="s">
        <v>43</v>
      </c>
    </row>
    <row r="219" spans="1:7" x14ac:dyDescent="0.35">
      <c r="A219" s="1" t="s">
        <v>203</v>
      </c>
      <c r="B219" s="1" t="s">
        <v>22</v>
      </c>
      <c r="C219">
        <v>12.05</v>
      </c>
      <c r="D219">
        <v>2</v>
      </c>
      <c r="E219" s="1" t="s">
        <v>51</v>
      </c>
      <c r="F219">
        <v>10</v>
      </c>
      <c r="G219" s="1" t="s">
        <v>41</v>
      </c>
    </row>
    <row r="220" spans="1:7" x14ac:dyDescent="0.35">
      <c r="A220" s="1" t="s">
        <v>204</v>
      </c>
      <c r="B220" s="1" t="s">
        <v>25</v>
      </c>
      <c r="C220">
        <v>54.38</v>
      </c>
      <c r="D220">
        <v>3</v>
      </c>
      <c r="E220" s="1" t="s">
        <v>51</v>
      </c>
      <c r="F220">
        <v>16</v>
      </c>
      <c r="G220" s="1" t="s">
        <v>42</v>
      </c>
    </row>
    <row r="221" spans="1:7" x14ac:dyDescent="0.35">
      <c r="A221" s="1" t="s">
        <v>205</v>
      </c>
      <c r="B221" s="1" t="s">
        <v>13</v>
      </c>
      <c r="C221">
        <v>52.43</v>
      </c>
      <c r="D221">
        <v>3</v>
      </c>
      <c r="E221" s="1" t="s">
        <v>68</v>
      </c>
      <c r="F221">
        <v>4</v>
      </c>
      <c r="G221" s="1" t="s">
        <v>41</v>
      </c>
    </row>
    <row r="222" spans="1:7" x14ac:dyDescent="0.35">
      <c r="A222" s="1" t="s">
        <v>193</v>
      </c>
      <c r="B222" s="1" t="s">
        <v>24</v>
      </c>
      <c r="C222">
        <v>7.04</v>
      </c>
      <c r="D222">
        <v>4</v>
      </c>
      <c r="E222" s="1" t="s">
        <v>51</v>
      </c>
      <c r="F222">
        <v>9</v>
      </c>
      <c r="G222" s="1" t="s">
        <v>40</v>
      </c>
    </row>
    <row r="223" spans="1:7" x14ac:dyDescent="0.35">
      <c r="A223" s="1" t="s">
        <v>206</v>
      </c>
      <c r="B223" s="1" t="s">
        <v>14</v>
      </c>
      <c r="C223">
        <v>38.130000000000003</v>
      </c>
      <c r="D223">
        <v>4</v>
      </c>
      <c r="E223" s="1" t="s">
        <v>51</v>
      </c>
      <c r="F223">
        <v>12</v>
      </c>
      <c r="G223" s="1" t="s">
        <v>43</v>
      </c>
    </row>
    <row r="224" spans="1:7" x14ac:dyDescent="0.35">
      <c r="A224" s="1" t="s">
        <v>205</v>
      </c>
      <c r="B224" s="1" t="s">
        <v>10</v>
      </c>
      <c r="C224">
        <v>56.89</v>
      </c>
      <c r="D224">
        <v>2</v>
      </c>
      <c r="E224" s="1" t="s">
        <v>68</v>
      </c>
      <c r="F224">
        <v>9</v>
      </c>
      <c r="G224" s="1" t="s">
        <v>41</v>
      </c>
    </row>
    <row r="225" spans="1:7" x14ac:dyDescent="0.35">
      <c r="A225" s="1" t="s">
        <v>197</v>
      </c>
      <c r="B225" s="1" t="s">
        <v>19</v>
      </c>
      <c r="C225">
        <v>43.13</v>
      </c>
      <c r="D225">
        <v>2</v>
      </c>
      <c r="E225" s="1" t="s">
        <v>51</v>
      </c>
      <c r="F225">
        <v>3</v>
      </c>
      <c r="G225" s="1" t="s">
        <v>41</v>
      </c>
    </row>
    <row r="226" spans="1:7" x14ac:dyDescent="0.35">
      <c r="A226" s="1" t="s">
        <v>207</v>
      </c>
      <c r="B226" s="1" t="s">
        <v>4</v>
      </c>
      <c r="C226">
        <v>40.5</v>
      </c>
      <c r="D226">
        <v>5</v>
      </c>
      <c r="E226" s="1" t="s">
        <v>51</v>
      </c>
      <c r="F226">
        <v>16</v>
      </c>
      <c r="G226" s="1" t="s">
        <v>43</v>
      </c>
    </row>
    <row r="227" spans="1:7" x14ac:dyDescent="0.35">
      <c r="A227" s="1" t="s">
        <v>208</v>
      </c>
      <c r="B227" s="1" t="s">
        <v>14</v>
      </c>
      <c r="C227">
        <v>54.28</v>
      </c>
      <c r="D227">
        <v>4</v>
      </c>
      <c r="E227" s="1" t="s">
        <v>51</v>
      </c>
      <c r="F227">
        <v>5</v>
      </c>
      <c r="G227" s="1" t="s">
        <v>40</v>
      </c>
    </row>
    <row r="228" spans="1:7" x14ac:dyDescent="0.35">
      <c r="A228" s="1" t="s">
        <v>209</v>
      </c>
      <c r="B228" s="1" t="s">
        <v>13</v>
      </c>
      <c r="C228">
        <v>59.19</v>
      </c>
      <c r="D228">
        <v>4</v>
      </c>
      <c r="E228" s="1" t="s">
        <v>51</v>
      </c>
      <c r="F228">
        <v>10</v>
      </c>
      <c r="G228" s="1" t="s">
        <v>40</v>
      </c>
    </row>
    <row r="229" spans="1:7" x14ac:dyDescent="0.35">
      <c r="A229" s="1" t="s">
        <v>194</v>
      </c>
      <c r="B229" s="1" t="s">
        <v>8</v>
      </c>
      <c r="C229">
        <v>29.01</v>
      </c>
      <c r="D229">
        <v>3</v>
      </c>
      <c r="E229" s="1" t="s">
        <v>51</v>
      </c>
      <c r="F229">
        <v>12</v>
      </c>
      <c r="G229" s="1" t="s">
        <v>42</v>
      </c>
    </row>
    <row r="230" spans="1:7" x14ac:dyDescent="0.35">
      <c r="A230" s="1" t="s">
        <v>208</v>
      </c>
      <c r="B230" s="1" t="s">
        <v>13</v>
      </c>
      <c r="C230">
        <v>55.88</v>
      </c>
      <c r="D230">
        <v>4</v>
      </c>
      <c r="E230" s="1" t="s">
        <v>51</v>
      </c>
      <c r="F230">
        <v>14</v>
      </c>
      <c r="G230" s="1" t="s">
        <v>43</v>
      </c>
    </row>
    <row r="231" spans="1:7" x14ac:dyDescent="0.35">
      <c r="A231" s="1" t="s">
        <v>210</v>
      </c>
      <c r="B231" s="1" t="s">
        <v>25</v>
      </c>
      <c r="C231">
        <v>57.73</v>
      </c>
      <c r="D231">
        <v>2</v>
      </c>
      <c r="E231" s="1" t="s">
        <v>51</v>
      </c>
      <c r="F231">
        <v>17</v>
      </c>
      <c r="G231" s="1" t="s">
        <v>42</v>
      </c>
    </row>
    <row r="232" spans="1:7" x14ac:dyDescent="0.35">
      <c r="A232" s="1" t="s">
        <v>209</v>
      </c>
      <c r="B232" s="1" t="s">
        <v>30</v>
      </c>
      <c r="C232">
        <v>1.64</v>
      </c>
      <c r="D232">
        <v>4</v>
      </c>
      <c r="E232" s="1" t="s">
        <v>68</v>
      </c>
      <c r="F232">
        <v>19</v>
      </c>
      <c r="G232" s="1" t="s">
        <v>43</v>
      </c>
    </row>
    <row r="233" spans="1:7" x14ac:dyDescent="0.35">
      <c r="A233" s="1" t="s">
        <v>211</v>
      </c>
      <c r="B233" s="1" t="s">
        <v>13</v>
      </c>
      <c r="C233">
        <v>2.61</v>
      </c>
      <c r="D233">
        <v>4</v>
      </c>
      <c r="E233" s="1" t="s">
        <v>51</v>
      </c>
      <c r="F233">
        <v>3</v>
      </c>
      <c r="G233" s="1" t="s">
        <v>40</v>
      </c>
    </row>
    <row r="234" spans="1:7" x14ac:dyDescent="0.35">
      <c r="A234" s="1" t="s">
        <v>212</v>
      </c>
      <c r="B234" s="1" t="s">
        <v>6</v>
      </c>
      <c r="C234">
        <v>2.95</v>
      </c>
      <c r="D234">
        <v>5</v>
      </c>
      <c r="E234" s="1" t="s">
        <v>61</v>
      </c>
      <c r="F234">
        <v>0</v>
      </c>
      <c r="G234" s="1" t="s">
        <v>40</v>
      </c>
    </row>
    <row r="235" spans="1:7" x14ac:dyDescent="0.35">
      <c r="A235" s="1" t="s">
        <v>212</v>
      </c>
      <c r="B235" s="1" t="s">
        <v>25</v>
      </c>
      <c r="C235">
        <v>18.78</v>
      </c>
      <c r="D235">
        <v>5</v>
      </c>
      <c r="E235" s="1" t="s">
        <v>51</v>
      </c>
      <c r="F235">
        <v>18</v>
      </c>
      <c r="G235" s="1" t="s">
        <v>43</v>
      </c>
    </row>
    <row r="236" spans="1:7" x14ac:dyDescent="0.35">
      <c r="A236" s="1" t="s">
        <v>197</v>
      </c>
      <c r="B236" s="1" t="s">
        <v>13</v>
      </c>
      <c r="C236">
        <v>55.16</v>
      </c>
      <c r="D236">
        <v>5</v>
      </c>
      <c r="E236" s="1" t="s">
        <v>51</v>
      </c>
      <c r="F236">
        <v>9</v>
      </c>
      <c r="G236" s="1" t="s">
        <v>40</v>
      </c>
    </row>
    <row r="237" spans="1:7" x14ac:dyDescent="0.35">
      <c r="A237" s="1" t="s">
        <v>213</v>
      </c>
      <c r="B237" s="1" t="s">
        <v>24</v>
      </c>
      <c r="C237">
        <v>7.13</v>
      </c>
      <c r="D237">
        <v>4</v>
      </c>
      <c r="E237" s="1" t="s">
        <v>51</v>
      </c>
      <c r="F237">
        <v>10</v>
      </c>
      <c r="G237" s="1" t="s">
        <v>40</v>
      </c>
    </row>
    <row r="238" spans="1:7" x14ac:dyDescent="0.35">
      <c r="A238" s="1" t="s">
        <v>198</v>
      </c>
      <c r="B238" s="1" t="s">
        <v>8</v>
      </c>
      <c r="C238">
        <v>53.86</v>
      </c>
      <c r="D238">
        <v>4</v>
      </c>
      <c r="E238" s="1" t="s">
        <v>51</v>
      </c>
      <c r="F238">
        <v>15</v>
      </c>
      <c r="G238" s="1" t="s">
        <v>43</v>
      </c>
    </row>
    <row r="239" spans="1:7" x14ac:dyDescent="0.35">
      <c r="A239" s="1" t="s">
        <v>211</v>
      </c>
      <c r="B239" s="1" t="s">
        <v>8</v>
      </c>
      <c r="C239">
        <v>26.99</v>
      </c>
      <c r="D239">
        <v>4</v>
      </c>
      <c r="E239" s="1" t="s">
        <v>61</v>
      </c>
      <c r="F239">
        <v>0</v>
      </c>
      <c r="G239" s="1" t="s">
        <v>40</v>
      </c>
    </row>
    <row r="240" spans="1:7" x14ac:dyDescent="0.35">
      <c r="A240" s="1" t="s">
        <v>208</v>
      </c>
      <c r="B240" s="1" t="s">
        <v>18</v>
      </c>
      <c r="C240">
        <v>1.05</v>
      </c>
      <c r="D240">
        <v>1</v>
      </c>
      <c r="E240" s="1" t="s">
        <v>51</v>
      </c>
      <c r="F240">
        <v>5</v>
      </c>
      <c r="G240" s="1" t="s">
        <v>41</v>
      </c>
    </row>
    <row r="241" spans="1:7" x14ac:dyDescent="0.35">
      <c r="A241" s="1" t="s">
        <v>214</v>
      </c>
      <c r="B241" s="1" t="s">
        <v>16</v>
      </c>
      <c r="C241">
        <v>59.49</v>
      </c>
      <c r="D241">
        <v>3</v>
      </c>
      <c r="E241" s="1" t="s">
        <v>51</v>
      </c>
      <c r="F241">
        <v>2</v>
      </c>
      <c r="G241" s="1" t="s">
        <v>41</v>
      </c>
    </row>
    <row r="242" spans="1:7" x14ac:dyDescent="0.35">
      <c r="A242" s="1" t="s">
        <v>215</v>
      </c>
      <c r="B242" s="1" t="s">
        <v>21</v>
      </c>
      <c r="C242">
        <v>29.7</v>
      </c>
      <c r="D242">
        <v>5</v>
      </c>
      <c r="E242" s="1" t="s">
        <v>51</v>
      </c>
      <c r="F242">
        <v>7</v>
      </c>
      <c r="G242" s="1" t="s">
        <v>40</v>
      </c>
    </row>
    <row r="243" spans="1:7" x14ac:dyDescent="0.35">
      <c r="A243" s="1" t="s">
        <v>216</v>
      </c>
      <c r="B243" s="1" t="s">
        <v>15</v>
      </c>
      <c r="C243">
        <v>13.49</v>
      </c>
      <c r="D243">
        <v>4</v>
      </c>
      <c r="E243" s="1" t="s">
        <v>51</v>
      </c>
      <c r="F243">
        <v>22</v>
      </c>
      <c r="G243" s="1" t="s">
        <v>43</v>
      </c>
    </row>
    <row r="244" spans="1:7" x14ac:dyDescent="0.35">
      <c r="A244" s="1" t="s">
        <v>207</v>
      </c>
      <c r="B244" s="1" t="s">
        <v>15</v>
      </c>
      <c r="C244">
        <v>27.91</v>
      </c>
      <c r="D244">
        <v>3</v>
      </c>
      <c r="E244" s="1" t="s">
        <v>51</v>
      </c>
      <c r="F244">
        <v>4</v>
      </c>
      <c r="G244" s="1" t="s">
        <v>41</v>
      </c>
    </row>
    <row r="245" spans="1:7" x14ac:dyDescent="0.35">
      <c r="A245" s="1" t="s">
        <v>191</v>
      </c>
      <c r="B245" s="1" t="s">
        <v>8</v>
      </c>
      <c r="C245">
        <v>20.79</v>
      </c>
      <c r="D245">
        <v>2</v>
      </c>
      <c r="E245" s="1" t="s">
        <v>51</v>
      </c>
      <c r="F245">
        <v>14</v>
      </c>
      <c r="G245" s="1" t="s">
        <v>42</v>
      </c>
    </row>
    <row r="246" spans="1:7" x14ac:dyDescent="0.35">
      <c r="A246" s="1" t="s">
        <v>217</v>
      </c>
      <c r="B246" s="1" t="s">
        <v>7</v>
      </c>
      <c r="C246">
        <v>25.55</v>
      </c>
      <c r="D246">
        <v>5</v>
      </c>
      <c r="E246" s="1" t="s">
        <v>51</v>
      </c>
      <c r="F246">
        <v>5</v>
      </c>
      <c r="G246" s="1" t="s">
        <v>40</v>
      </c>
    </row>
    <row r="247" spans="1:7" x14ac:dyDescent="0.35">
      <c r="A247" s="1" t="s">
        <v>218</v>
      </c>
      <c r="B247" s="1" t="s">
        <v>24</v>
      </c>
      <c r="C247">
        <v>58.62</v>
      </c>
      <c r="D247">
        <v>4</v>
      </c>
      <c r="E247" s="1" t="s">
        <v>68</v>
      </c>
      <c r="F247">
        <v>18</v>
      </c>
      <c r="G247" s="1" t="s">
        <v>43</v>
      </c>
    </row>
    <row r="248" spans="1:7" x14ac:dyDescent="0.35">
      <c r="A248" s="1" t="s">
        <v>219</v>
      </c>
      <c r="B248" s="1" t="s">
        <v>13</v>
      </c>
      <c r="C248">
        <v>48.5</v>
      </c>
      <c r="D248">
        <v>5</v>
      </c>
      <c r="E248" s="1" t="s">
        <v>51</v>
      </c>
      <c r="F248">
        <v>2</v>
      </c>
      <c r="G248" s="1" t="s">
        <v>40</v>
      </c>
    </row>
    <row r="249" spans="1:7" x14ac:dyDescent="0.35">
      <c r="A249" s="1" t="s">
        <v>213</v>
      </c>
      <c r="B249" s="1" t="s">
        <v>6</v>
      </c>
      <c r="C249">
        <v>12.8</v>
      </c>
      <c r="D249">
        <v>5</v>
      </c>
      <c r="E249" s="1" t="s">
        <v>51</v>
      </c>
      <c r="F249">
        <v>19</v>
      </c>
      <c r="G249" s="1" t="s">
        <v>43</v>
      </c>
    </row>
    <row r="250" spans="1:7" x14ac:dyDescent="0.35">
      <c r="A250" s="1" t="s">
        <v>220</v>
      </c>
      <c r="B250" s="1" t="s">
        <v>9</v>
      </c>
      <c r="C250">
        <v>25.67</v>
      </c>
      <c r="D250">
        <v>5</v>
      </c>
      <c r="E250" s="1" t="s">
        <v>51</v>
      </c>
      <c r="F250">
        <v>10</v>
      </c>
      <c r="G250" s="1" t="s">
        <v>40</v>
      </c>
    </row>
    <row r="251" spans="1:7" x14ac:dyDescent="0.35">
      <c r="A251" s="1" t="s">
        <v>221</v>
      </c>
      <c r="B251" s="1" t="s">
        <v>10</v>
      </c>
      <c r="C251">
        <v>15.62</v>
      </c>
      <c r="D251">
        <v>4</v>
      </c>
      <c r="E251" s="1" t="s">
        <v>51</v>
      </c>
      <c r="F251">
        <v>19</v>
      </c>
      <c r="G251" s="1" t="s">
        <v>43</v>
      </c>
    </row>
    <row r="252" spans="1:7" x14ac:dyDescent="0.35">
      <c r="A252" s="1" t="s">
        <v>222</v>
      </c>
      <c r="B252" s="1" t="s">
        <v>26</v>
      </c>
      <c r="C252">
        <v>44.17</v>
      </c>
      <c r="D252">
        <v>5</v>
      </c>
      <c r="E252" s="1" t="s">
        <v>51</v>
      </c>
      <c r="F252">
        <v>10</v>
      </c>
      <c r="G252" s="1" t="s">
        <v>40</v>
      </c>
    </row>
    <row r="253" spans="1:7" x14ac:dyDescent="0.35">
      <c r="A253" s="1" t="s">
        <v>223</v>
      </c>
      <c r="B253" s="1" t="s">
        <v>3</v>
      </c>
      <c r="C253">
        <v>51.75</v>
      </c>
      <c r="D253">
        <v>2</v>
      </c>
      <c r="E253" s="1" t="s">
        <v>68</v>
      </c>
      <c r="F253">
        <v>11</v>
      </c>
      <c r="G253" s="1" t="s">
        <v>42</v>
      </c>
    </row>
    <row r="254" spans="1:7" x14ac:dyDescent="0.35">
      <c r="A254" s="1" t="s">
        <v>224</v>
      </c>
      <c r="B254" s="1" t="s">
        <v>9</v>
      </c>
      <c r="C254">
        <v>37.520000000000003</v>
      </c>
      <c r="D254">
        <v>4</v>
      </c>
      <c r="E254" s="1" t="s">
        <v>51</v>
      </c>
      <c r="F254">
        <v>18</v>
      </c>
      <c r="G254" s="1" t="s">
        <v>43</v>
      </c>
    </row>
    <row r="255" spans="1:7" x14ac:dyDescent="0.35">
      <c r="A255" s="1" t="s">
        <v>225</v>
      </c>
      <c r="B255" s="1" t="s">
        <v>1</v>
      </c>
      <c r="C255">
        <v>17.350000000000001</v>
      </c>
      <c r="D255">
        <v>2</v>
      </c>
      <c r="E255" s="1" t="s">
        <v>51</v>
      </c>
      <c r="F255">
        <v>16</v>
      </c>
      <c r="G255" s="1" t="s">
        <v>42</v>
      </c>
    </row>
    <row r="256" spans="1:7" x14ac:dyDescent="0.35">
      <c r="A256" s="1" t="s">
        <v>226</v>
      </c>
      <c r="B256" s="1" t="s">
        <v>8</v>
      </c>
      <c r="C256">
        <v>18.010000000000002</v>
      </c>
      <c r="D256">
        <v>5</v>
      </c>
      <c r="E256" s="1" t="s">
        <v>51</v>
      </c>
      <c r="F256">
        <v>9</v>
      </c>
      <c r="G256" s="1" t="s">
        <v>40</v>
      </c>
    </row>
    <row r="257" spans="1:7" x14ac:dyDescent="0.35">
      <c r="A257" s="1" t="s">
        <v>222</v>
      </c>
      <c r="B257" s="1" t="s">
        <v>19</v>
      </c>
      <c r="C257">
        <v>56.89</v>
      </c>
      <c r="D257">
        <v>4</v>
      </c>
      <c r="E257" s="1" t="s">
        <v>51</v>
      </c>
      <c r="F257">
        <v>11</v>
      </c>
      <c r="G257" s="1" t="s">
        <v>43</v>
      </c>
    </row>
    <row r="258" spans="1:7" x14ac:dyDescent="0.35">
      <c r="A258" s="1" t="s">
        <v>227</v>
      </c>
      <c r="B258" s="1" t="s">
        <v>7</v>
      </c>
      <c r="C258">
        <v>27.9</v>
      </c>
      <c r="D258">
        <v>3</v>
      </c>
      <c r="E258" s="1" t="s">
        <v>68</v>
      </c>
      <c r="F258">
        <v>18</v>
      </c>
      <c r="G258" s="1" t="s">
        <v>42</v>
      </c>
    </row>
    <row r="259" spans="1:7" x14ac:dyDescent="0.35">
      <c r="A259" s="1" t="s">
        <v>228</v>
      </c>
      <c r="B259" s="1" t="s">
        <v>21</v>
      </c>
      <c r="C259">
        <v>27.45</v>
      </c>
      <c r="D259">
        <v>5</v>
      </c>
      <c r="E259" s="1" t="s">
        <v>51</v>
      </c>
      <c r="F259">
        <v>4</v>
      </c>
      <c r="G259" s="1" t="s">
        <v>40</v>
      </c>
    </row>
    <row r="260" spans="1:7" x14ac:dyDescent="0.35">
      <c r="A260" s="1" t="s">
        <v>229</v>
      </c>
      <c r="B260" s="1" t="s">
        <v>5</v>
      </c>
      <c r="C260">
        <v>48.17</v>
      </c>
      <c r="D260">
        <v>5</v>
      </c>
      <c r="E260" s="1" t="s">
        <v>68</v>
      </c>
      <c r="F260">
        <v>11</v>
      </c>
      <c r="G260" s="1" t="s">
        <v>43</v>
      </c>
    </row>
    <row r="261" spans="1:7" x14ac:dyDescent="0.35">
      <c r="A261" s="1" t="s">
        <v>230</v>
      </c>
      <c r="B261" s="1" t="s">
        <v>3</v>
      </c>
      <c r="C261">
        <v>5.93</v>
      </c>
      <c r="D261">
        <v>5</v>
      </c>
      <c r="E261" s="1" t="s">
        <v>51</v>
      </c>
      <c r="F261">
        <v>3</v>
      </c>
      <c r="G261" s="1" t="s">
        <v>40</v>
      </c>
    </row>
    <row r="262" spans="1:7" x14ac:dyDescent="0.35">
      <c r="A262" s="1" t="s">
        <v>231</v>
      </c>
      <c r="B262" s="1" t="s">
        <v>28</v>
      </c>
      <c r="C262">
        <v>43.94</v>
      </c>
      <c r="D262">
        <v>4</v>
      </c>
      <c r="E262" s="1" t="s">
        <v>61</v>
      </c>
      <c r="F262">
        <v>0</v>
      </c>
      <c r="G262" s="1" t="s">
        <v>40</v>
      </c>
    </row>
    <row r="263" spans="1:7" x14ac:dyDescent="0.35">
      <c r="A263" s="1" t="s">
        <v>232</v>
      </c>
      <c r="B263" s="1" t="s">
        <v>27</v>
      </c>
      <c r="C263">
        <v>1.39</v>
      </c>
      <c r="D263">
        <v>4</v>
      </c>
      <c r="E263" s="1" t="s">
        <v>51</v>
      </c>
      <c r="F263">
        <v>6</v>
      </c>
      <c r="G263" s="1" t="s">
        <v>40</v>
      </c>
    </row>
    <row r="264" spans="1:7" x14ac:dyDescent="0.35">
      <c r="A264" s="1" t="s">
        <v>233</v>
      </c>
      <c r="B264" s="1" t="s">
        <v>18</v>
      </c>
      <c r="C264">
        <v>50.21</v>
      </c>
      <c r="D264">
        <v>4</v>
      </c>
      <c r="E264" s="1" t="s">
        <v>51</v>
      </c>
      <c r="F264">
        <v>10</v>
      </c>
      <c r="G264" s="1" t="s">
        <v>40</v>
      </c>
    </row>
    <row r="265" spans="1:7" x14ac:dyDescent="0.35">
      <c r="A265" s="1" t="s">
        <v>230</v>
      </c>
      <c r="B265" s="1" t="s">
        <v>24</v>
      </c>
      <c r="C265">
        <v>44.24</v>
      </c>
      <c r="D265">
        <v>1</v>
      </c>
      <c r="E265" s="1" t="s">
        <v>51</v>
      </c>
      <c r="F265">
        <v>19</v>
      </c>
      <c r="G265" s="1" t="s">
        <v>42</v>
      </c>
    </row>
    <row r="266" spans="1:7" x14ac:dyDescent="0.35">
      <c r="A266" s="1" t="s">
        <v>229</v>
      </c>
      <c r="B266" s="1" t="s">
        <v>30</v>
      </c>
      <c r="C266">
        <v>10.86</v>
      </c>
      <c r="D266">
        <v>3</v>
      </c>
      <c r="E266" s="1" t="s">
        <v>51</v>
      </c>
      <c r="F266">
        <v>22</v>
      </c>
      <c r="G266" s="1" t="s">
        <v>42</v>
      </c>
    </row>
    <row r="267" spans="1:7" x14ac:dyDescent="0.35">
      <c r="A267" s="1" t="s">
        <v>234</v>
      </c>
      <c r="B267" s="1" t="s">
        <v>2</v>
      </c>
      <c r="C267">
        <v>53.92</v>
      </c>
      <c r="D267">
        <v>4</v>
      </c>
      <c r="E267" s="1" t="s">
        <v>68</v>
      </c>
      <c r="F267">
        <v>17</v>
      </c>
      <c r="G267" s="1" t="s">
        <v>43</v>
      </c>
    </row>
    <row r="268" spans="1:7" x14ac:dyDescent="0.35">
      <c r="A268" s="1" t="s">
        <v>235</v>
      </c>
      <c r="B268" s="1" t="s">
        <v>8</v>
      </c>
      <c r="C268">
        <v>42.88</v>
      </c>
      <c r="D268">
        <v>1</v>
      </c>
      <c r="E268" s="1" t="s">
        <v>51</v>
      </c>
      <c r="F268">
        <v>8</v>
      </c>
      <c r="G268" s="1" t="s">
        <v>41</v>
      </c>
    </row>
    <row r="269" spans="1:7" x14ac:dyDescent="0.35">
      <c r="A269" s="1" t="s">
        <v>236</v>
      </c>
      <c r="B269" s="1" t="s">
        <v>25</v>
      </c>
      <c r="C269">
        <v>8.02</v>
      </c>
      <c r="D269">
        <v>3</v>
      </c>
      <c r="E269" s="1" t="s">
        <v>51</v>
      </c>
      <c r="F269">
        <v>22</v>
      </c>
      <c r="G269" s="1" t="s">
        <v>42</v>
      </c>
    </row>
    <row r="270" spans="1:7" x14ac:dyDescent="0.35">
      <c r="A270" s="1" t="s">
        <v>237</v>
      </c>
      <c r="B270" s="1" t="s">
        <v>24</v>
      </c>
      <c r="C270">
        <v>34.64</v>
      </c>
      <c r="D270">
        <v>2</v>
      </c>
      <c r="E270" s="1" t="s">
        <v>51</v>
      </c>
      <c r="F270">
        <v>1</v>
      </c>
      <c r="G270" s="1" t="s">
        <v>41</v>
      </c>
    </row>
    <row r="271" spans="1:7" x14ac:dyDescent="0.35">
      <c r="A271" s="1" t="s">
        <v>230</v>
      </c>
      <c r="B271" s="1" t="s">
        <v>22</v>
      </c>
      <c r="C271">
        <v>26.02</v>
      </c>
      <c r="D271">
        <v>4</v>
      </c>
      <c r="E271" s="1" t="s">
        <v>51</v>
      </c>
      <c r="F271">
        <v>11</v>
      </c>
      <c r="G271" s="1" t="s">
        <v>43</v>
      </c>
    </row>
    <row r="272" spans="1:7" x14ac:dyDescent="0.35">
      <c r="A272" s="1" t="s">
        <v>238</v>
      </c>
      <c r="B272" s="1" t="s">
        <v>6</v>
      </c>
      <c r="C272">
        <v>26.25</v>
      </c>
      <c r="D272">
        <v>5</v>
      </c>
      <c r="E272" s="1" t="s">
        <v>68</v>
      </c>
      <c r="F272">
        <v>16</v>
      </c>
      <c r="G272" s="1" t="s">
        <v>43</v>
      </c>
    </row>
    <row r="273" spans="1:7" x14ac:dyDescent="0.35">
      <c r="A273" s="1" t="s">
        <v>224</v>
      </c>
      <c r="B273" s="1" t="s">
        <v>28</v>
      </c>
      <c r="C273">
        <v>20.98</v>
      </c>
      <c r="D273">
        <v>4</v>
      </c>
      <c r="E273" s="1" t="s">
        <v>61</v>
      </c>
      <c r="F273">
        <v>0</v>
      </c>
      <c r="G273" s="1" t="s">
        <v>40</v>
      </c>
    </row>
    <row r="274" spans="1:7" x14ac:dyDescent="0.35">
      <c r="A274" s="1" t="s">
        <v>239</v>
      </c>
      <c r="B274" s="1" t="s">
        <v>15</v>
      </c>
      <c r="C274">
        <v>8.2100000000000009</v>
      </c>
      <c r="D274">
        <v>4</v>
      </c>
      <c r="E274" s="1" t="s">
        <v>51</v>
      </c>
      <c r="F274">
        <v>5</v>
      </c>
      <c r="G274" s="1" t="s">
        <v>40</v>
      </c>
    </row>
    <row r="275" spans="1:7" x14ac:dyDescent="0.35">
      <c r="A275" s="1" t="s">
        <v>236</v>
      </c>
      <c r="B275" s="1" t="s">
        <v>25</v>
      </c>
      <c r="C275">
        <v>29.92</v>
      </c>
      <c r="D275">
        <v>3</v>
      </c>
      <c r="E275" s="1" t="s">
        <v>51</v>
      </c>
      <c r="F275">
        <v>18</v>
      </c>
      <c r="G275" s="1" t="s">
        <v>42</v>
      </c>
    </row>
    <row r="276" spans="1:7" x14ac:dyDescent="0.35">
      <c r="A276" s="1" t="s">
        <v>240</v>
      </c>
      <c r="B276" s="1" t="s">
        <v>26</v>
      </c>
      <c r="C276">
        <v>23.95</v>
      </c>
      <c r="D276">
        <v>5</v>
      </c>
      <c r="E276" s="1" t="s">
        <v>51</v>
      </c>
      <c r="F276">
        <v>16</v>
      </c>
      <c r="G276" s="1" t="s">
        <v>43</v>
      </c>
    </row>
    <row r="277" spans="1:7" x14ac:dyDescent="0.35">
      <c r="A277" s="1" t="s">
        <v>241</v>
      </c>
      <c r="B277" s="1" t="s">
        <v>21</v>
      </c>
      <c r="C277">
        <v>48.76</v>
      </c>
      <c r="D277">
        <v>4</v>
      </c>
      <c r="E277" s="1" t="s">
        <v>51</v>
      </c>
      <c r="F277">
        <v>21</v>
      </c>
      <c r="G277" s="1" t="s">
        <v>43</v>
      </c>
    </row>
    <row r="278" spans="1:7" x14ac:dyDescent="0.35">
      <c r="A278" s="1" t="s">
        <v>230</v>
      </c>
      <c r="B278" s="1" t="s">
        <v>6</v>
      </c>
      <c r="C278">
        <v>25.92</v>
      </c>
      <c r="D278">
        <v>4</v>
      </c>
      <c r="E278" s="1" t="s">
        <v>51</v>
      </c>
      <c r="F278">
        <v>1</v>
      </c>
      <c r="G278" s="1" t="s">
        <v>40</v>
      </c>
    </row>
    <row r="279" spans="1:7" x14ac:dyDescent="0.35">
      <c r="A279" s="1" t="s">
        <v>238</v>
      </c>
      <c r="B279" s="1" t="s">
        <v>25</v>
      </c>
      <c r="C279">
        <v>38.479999999999997</v>
      </c>
      <c r="D279">
        <v>5</v>
      </c>
      <c r="E279" s="1" t="s">
        <v>51</v>
      </c>
      <c r="F279">
        <v>18</v>
      </c>
      <c r="G279" s="1" t="s">
        <v>43</v>
      </c>
    </row>
    <row r="280" spans="1:7" x14ac:dyDescent="0.35">
      <c r="A280" s="1" t="s">
        <v>240</v>
      </c>
      <c r="B280" s="1" t="s">
        <v>19</v>
      </c>
      <c r="C280">
        <v>18.809999999999999</v>
      </c>
      <c r="D280">
        <v>5</v>
      </c>
      <c r="E280" s="1" t="s">
        <v>51</v>
      </c>
      <c r="F280">
        <v>18</v>
      </c>
      <c r="G280" s="1" t="s">
        <v>43</v>
      </c>
    </row>
    <row r="281" spans="1:7" x14ac:dyDescent="0.35">
      <c r="A281" s="1" t="s">
        <v>242</v>
      </c>
      <c r="B281" s="1" t="s">
        <v>2</v>
      </c>
      <c r="C281">
        <v>37.24</v>
      </c>
      <c r="D281">
        <v>5</v>
      </c>
      <c r="E281" s="1" t="s">
        <v>51</v>
      </c>
      <c r="F281">
        <v>19</v>
      </c>
      <c r="G281" s="1" t="s">
        <v>43</v>
      </c>
    </row>
    <row r="282" spans="1:7" x14ac:dyDescent="0.35">
      <c r="A282" s="1" t="s">
        <v>243</v>
      </c>
      <c r="B282" s="1" t="s">
        <v>4</v>
      </c>
      <c r="C282">
        <v>36.47</v>
      </c>
      <c r="D282">
        <v>4</v>
      </c>
      <c r="E282" s="1" t="s">
        <v>51</v>
      </c>
      <c r="F282">
        <v>7</v>
      </c>
      <c r="G282" s="1" t="s">
        <v>40</v>
      </c>
    </row>
    <row r="283" spans="1:7" x14ac:dyDescent="0.35">
      <c r="A283" s="1" t="s">
        <v>225</v>
      </c>
      <c r="B283" s="1" t="s">
        <v>2</v>
      </c>
      <c r="C283">
        <v>2.17</v>
      </c>
      <c r="D283">
        <v>5</v>
      </c>
      <c r="E283" s="1" t="s">
        <v>51</v>
      </c>
      <c r="F283">
        <v>20</v>
      </c>
      <c r="G283" s="1" t="s">
        <v>43</v>
      </c>
    </row>
    <row r="284" spans="1:7" x14ac:dyDescent="0.35">
      <c r="A284" s="1" t="s">
        <v>244</v>
      </c>
      <c r="B284" s="1" t="s">
        <v>24</v>
      </c>
      <c r="C284">
        <v>15.85</v>
      </c>
      <c r="D284">
        <v>5</v>
      </c>
      <c r="E284" s="1" t="s">
        <v>51</v>
      </c>
      <c r="F284">
        <v>4</v>
      </c>
      <c r="G284" s="1" t="s">
        <v>40</v>
      </c>
    </row>
    <row r="285" spans="1:7" x14ac:dyDescent="0.35">
      <c r="A285" s="1" t="s">
        <v>233</v>
      </c>
      <c r="B285" s="1" t="s">
        <v>15</v>
      </c>
      <c r="C285">
        <v>19.670000000000002</v>
      </c>
      <c r="D285">
        <v>4</v>
      </c>
      <c r="E285" s="1" t="s">
        <v>51</v>
      </c>
      <c r="F285">
        <v>9</v>
      </c>
      <c r="G285" s="1" t="s">
        <v>40</v>
      </c>
    </row>
    <row r="286" spans="1:7" x14ac:dyDescent="0.35">
      <c r="A286" s="1" t="s">
        <v>245</v>
      </c>
      <c r="B286" s="1" t="s">
        <v>26</v>
      </c>
      <c r="C286">
        <v>22.4</v>
      </c>
      <c r="D286">
        <v>5</v>
      </c>
      <c r="E286" s="1" t="s">
        <v>51</v>
      </c>
      <c r="F286">
        <v>8</v>
      </c>
      <c r="G286" s="1" t="s">
        <v>40</v>
      </c>
    </row>
    <row r="287" spans="1:7" x14ac:dyDescent="0.35">
      <c r="A287" s="1" t="s">
        <v>246</v>
      </c>
      <c r="B287" s="1" t="s">
        <v>23</v>
      </c>
      <c r="C287">
        <v>17.170000000000002</v>
      </c>
      <c r="D287">
        <v>2</v>
      </c>
      <c r="E287" s="1" t="s">
        <v>51</v>
      </c>
      <c r="F287">
        <v>16</v>
      </c>
      <c r="G287" s="1" t="s">
        <v>42</v>
      </c>
    </row>
    <row r="288" spans="1:7" x14ac:dyDescent="0.35">
      <c r="A288" s="1" t="s">
        <v>243</v>
      </c>
      <c r="B288" s="1" t="s">
        <v>18</v>
      </c>
      <c r="C288">
        <v>11.84</v>
      </c>
      <c r="D288">
        <v>4</v>
      </c>
      <c r="E288" s="1" t="s">
        <v>51</v>
      </c>
      <c r="F288">
        <v>1</v>
      </c>
      <c r="G288" s="1" t="s">
        <v>40</v>
      </c>
    </row>
    <row r="289" spans="1:7" x14ac:dyDescent="0.35">
      <c r="A289" s="1" t="s">
        <v>247</v>
      </c>
      <c r="B289" s="1" t="s">
        <v>4</v>
      </c>
      <c r="C289">
        <v>35.979999999999997</v>
      </c>
      <c r="D289">
        <v>3</v>
      </c>
      <c r="E289" s="1" t="s">
        <v>51</v>
      </c>
      <c r="F289">
        <v>3</v>
      </c>
      <c r="G289" s="1" t="s">
        <v>41</v>
      </c>
    </row>
    <row r="290" spans="1:7" x14ac:dyDescent="0.35">
      <c r="A290" s="1" t="s">
        <v>224</v>
      </c>
      <c r="B290" s="1" t="s">
        <v>1</v>
      </c>
      <c r="C290">
        <v>36.42</v>
      </c>
      <c r="D290">
        <v>2</v>
      </c>
      <c r="E290" s="1" t="s">
        <v>61</v>
      </c>
      <c r="F290">
        <v>0</v>
      </c>
      <c r="G290" s="1" t="s">
        <v>41</v>
      </c>
    </row>
    <row r="291" spans="1:7" x14ac:dyDescent="0.35">
      <c r="A291" s="1" t="s">
        <v>223</v>
      </c>
      <c r="B291" s="1" t="s">
        <v>28</v>
      </c>
      <c r="C291">
        <v>36.4</v>
      </c>
      <c r="D291">
        <v>5</v>
      </c>
      <c r="E291" s="1" t="s">
        <v>51</v>
      </c>
      <c r="F291">
        <v>22</v>
      </c>
      <c r="G291" s="1" t="s">
        <v>43</v>
      </c>
    </row>
    <row r="292" spans="1:7" x14ac:dyDescent="0.35">
      <c r="A292" s="1" t="s">
        <v>228</v>
      </c>
      <c r="B292" s="1" t="s">
        <v>22</v>
      </c>
      <c r="C292">
        <v>42.79</v>
      </c>
      <c r="D292">
        <v>5</v>
      </c>
      <c r="E292" s="1" t="s">
        <v>51</v>
      </c>
      <c r="F292">
        <v>4</v>
      </c>
      <c r="G292" s="1" t="s">
        <v>40</v>
      </c>
    </row>
    <row r="293" spans="1:7" x14ac:dyDescent="0.35">
      <c r="A293" s="1" t="s">
        <v>248</v>
      </c>
      <c r="B293" s="1" t="s">
        <v>29</v>
      </c>
      <c r="C293">
        <v>34.01</v>
      </c>
      <c r="D293">
        <v>4</v>
      </c>
      <c r="E293" s="1" t="s">
        <v>51</v>
      </c>
      <c r="F293">
        <v>17</v>
      </c>
      <c r="G293" s="1" t="s">
        <v>43</v>
      </c>
    </row>
    <row r="294" spans="1:7" x14ac:dyDescent="0.35">
      <c r="A294" s="1" t="s">
        <v>237</v>
      </c>
      <c r="B294" s="1" t="s">
        <v>19</v>
      </c>
      <c r="C294">
        <v>45.92</v>
      </c>
      <c r="D294">
        <v>3</v>
      </c>
      <c r="E294" s="1" t="s">
        <v>51</v>
      </c>
      <c r="F294">
        <v>6</v>
      </c>
      <c r="G294" s="1" t="s">
        <v>41</v>
      </c>
    </row>
    <row r="295" spans="1:7" x14ac:dyDescent="0.35">
      <c r="A295" s="1" t="s">
        <v>249</v>
      </c>
      <c r="B295" s="1" t="s">
        <v>23</v>
      </c>
      <c r="C295">
        <v>27.05</v>
      </c>
      <c r="D295">
        <v>5</v>
      </c>
      <c r="E295" s="1" t="s">
        <v>51</v>
      </c>
      <c r="F295">
        <v>15</v>
      </c>
      <c r="G295" s="1" t="s">
        <v>43</v>
      </c>
    </row>
    <row r="296" spans="1:7" x14ac:dyDescent="0.35">
      <c r="A296" s="1" t="s">
        <v>250</v>
      </c>
      <c r="B296" s="1" t="s">
        <v>1</v>
      </c>
      <c r="C296">
        <v>55.3</v>
      </c>
      <c r="D296">
        <v>3</v>
      </c>
      <c r="E296" s="1" t="s">
        <v>51</v>
      </c>
      <c r="F296">
        <v>4</v>
      </c>
      <c r="G296" s="1" t="s">
        <v>41</v>
      </c>
    </row>
    <row r="297" spans="1:7" x14ac:dyDescent="0.35">
      <c r="A297" s="1" t="s">
        <v>251</v>
      </c>
      <c r="B297" s="1" t="s">
        <v>23</v>
      </c>
      <c r="C297">
        <v>39.71</v>
      </c>
      <c r="D297">
        <v>5</v>
      </c>
      <c r="E297" s="1" t="s">
        <v>51</v>
      </c>
      <c r="F297">
        <v>19</v>
      </c>
      <c r="G297" s="1" t="s">
        <v>43</v>
      </c>
    </row>
    <row r="298" spans="1:7" x14ac:dyDescent="0.35">
      <c r="A298" s="1" t="s">
        <v>229</v>
      </c>
      <c r="B298" s="1" t="s">
        <v>22</v>
      </c>
      <c r="C298">
        <v>17.809999999999999</v>
      </c>
      <c r="D298">
        <v>5</v>
      </c>
      <c r="E298" s="1" t="s">
        <v>51</v>
      </c>
      <c r="F298">
        <v>4</v>
      </c>
      <c r="G298" s="1" t="s">
        <v>40</v>
      </c>
    </row>
    <row r="299" spans="1:7" x14ac:dyDescent="0.35">
      <c r="A299" s="1" t="s">
        <v>245</v>
      </c>
      <c r="B299" s="1" t="s">
        <v>21</v>
      </c>
      <c r="C299">
        <v>37.21</v>
      </c>
      <c r="D299">
        <v>4</v>
      </c>
      <c r="E299" s="1" t="s">
        <v>51</v>
      </c>
      <c r="F299">
        <v>2</v>
      </c>
      <c r="G299" s="1" t="s">
        <v>40</v>
      </c>
    </row>
    <row r="300" spans="1:7" x14ac:dyDescent="0.35">
      <c r="A300" s="1" t="s">
        <v>252</v>
      </c>
      <c r="B300" s="1" t="s">
        <v>10</v>
      </c>
      <c r="C300">
        <v>31.86</v>
      </c>
      <c r="D300">
        <v>3</v>
      </c>
      <c r="E300" s="1" t="s">
        <v>51</v>
      </c>
      <c r="F300">
        <v>3</v>
      </c>
      <c r="G300" s="1" t="s">
        <v>41</v>
      </c>
    </row>
    <row r="301" spans="1:7" x14ac:dyDescent="0.35">
      <c r="A301" s="1" t="s">
        <v>241</v>
      </c>
      <c r="B301" s="1" t="s">
        <v>1</v>
      </c>
      <c r="C301">
        <v>52.72</v>
      </c>
      <c r="D301">
        <v>3</v>
      </c>
      <c r="E301" s="1" t="s">
        <v>51</v>
      </c>
      <c r="F301">
        <v>15</v>
      </c>
      <c r="G301" s="1" t="s">
        <v>42</v>
      </c>
    </row>
    <row r="302" spans="1:7" x14ac:dyDescent="0.35">
      <c r="A302" s="1" t="s">
        <v>253</v>
      </c>
      <c r="B302" s="1" t="s">
        <v>9</v>
      </c>
      <c r="C302">
        <v>41.81</v>
      </c>
      <c r="D302">
        <v>5</v>
      </c>
      <c r="E302" s="1" t="s">
        <v>61</v>
      </c>
      <c r="F302">
        <v>0</v>
      </c>
      <c r="G302" s="1" t="s">
        <v>40</v>
      </c>
    </row>
    <row r="303" spans="1:7" x14ac:dyDescent="0.35">
      <c r="A303" s="1" t="s">
        <v>254</v>
      </c>
      <c r="B303" s="1" t="s">
        <v>18</v>
      </c>
      <c r="C303">
        <v>9.56</v>
      </c>
      <c r="D303">
        <v>3</v>
      </c>
      <c r="E303" s="1" t="s">
        <v>68</v>
      </c>
      <c r="F303">
        <v>18</v>
      </c>
      <c r="G303" s="1" t="s">
        <v>42</v>
      </c>
    </row>
    <row r="304" spans="1:7" x14ac:dyDescent="0.35">
      <c r="A304" s="1" t="s">
        <v>255</v>
      </c>
      <c r="B304" s="1" t="s">
        <v>3</v>
      </c>
      <c r="C304">
        <v>7.06</v>
      </c>
      <c r="D304">
        <v>5</v>
      </c>
      <c r="E304" s="1" t="s">
        <v>51</v>
      </c>
      <c r="F304">
        <v>14</v>
      </c>
      <c r="G304" s="1" t="s">
        <v>43</v>
      </c>
    </row>
    <row r="305" spans="1:7" x14ac:dyDescent="0.35">
      <c r="A305" s="1" t="s">
        <v>256</v>
      </c>
      <c r="B305" s="1" t="s">
        <v>27</v>
      </c>
      <c r="C305">
        <v>16.8</v>
      </c>
      <c r="D305">
        <v>4</v>
      </c>
      <c r="E305" s="1" t="s">
        <v>68</v>
      </c>
      <c r="F305">
        <v>4</v>
      </c>
      <c r="G305" s="1" t="s">
        <v>40</v>
      </c>
    </row>
    <row r="306" spans="1:7" x14ac:dyDescent="0.35">
      <c r="A306" s="1" t="s">
        <v>257</v>
      </c>
      <c r="B306" s="1" t="s">
        <v>7</v>
      </c>
      <c r="C306">
        <v>43.65</v>
      </c>
      <c r="D306">
        <v>4</v>
      </c>
      <c r="E306" s="1" t="s">
        <v>51</v>
      </c>
      <c r="F306">
        <v>22</v>
      </c>
      <c r="G306" s="1" t="s">
        <v>43</v>
      </c>
    </row>
    <row r="307" spans="1:7" x14ac:dyDescent="0.35">
      <c r="A307" s="1" t="s">
        <v>258</v>
      </c>
      <c r="B307" s="1" t="s">
        <v>20</v>
      </c>
      <c r="C307">
        <v>3.78</v>
      </c>
      <c r="D307">
        <v>1</v>
      </c>
      <c r="E307" s="1" t="s">
        <v>68</v>
      </c>
      <c r="F307">
        <v>12</v>
      </c>
      <c r="G307" s="1" t="s">
        <v>42</v>
      </c>
    </row>
    <row r="308" spans="1:7" x14ac:dyDescent="0.35">
      <c r="A308" s="1" t="s">
        <v>259</v>
      </c>
      <c r="B308" s="1" t="s">
        <v>6</v>
      </c>
      <c r="C308">
        <v>41.71</v>
      </c>
      <c r="D308">
        <v>4</v>
      </c>
      <c r="E308" s="1" t="s">
        <v>51</v>
      </c>
      <c r="F308">
        <v>2</v>
      </c>
      <c r="G308" s="1" t="s">
        <v>40</v>
      </c>
    </row>
    <row r="309" spans="1:7" x14ac:dyDescent="0.35">
      <c r="A309" s="1" t="s">
        <v>259</v>
      </c>
      <c r="B309" s="1" t="s">
        <v>7</v>
      </c>
      <c r="C309">
        <v>42.77</v>
      </c>
      <c r="D309">
        <v>5</v>
      </c>
      <c r="E309" s="1" t="s">
        <v>51</v>
      </c>
      <c r="F309">
        <v>4</v>
      </c>
      <c r="G309" s="1" t="s">
        <v>40</v>
      </c>
    </row>
    <row r="310" spans="1:7" x14ac:dyDescent="0.35">
      <c r="A310" s="1" t="s">
        <v>260</v>
      </c>
      <c r="B310" s="1" t="s">
        <v>10</v>
      </c>
      <c r="C310">
        <v>9.94</v>
      </c>
      <c r="D310">
        <v>5</v>
      </c>
      <c r="E310" s="1" t="s">
        <v>51</v>
      </c>
      <c r="F310">
        <v>8</v>
      </c>
      <c r="G310" s="1" t="s">
        <v>40</v>
      </c>
    </row>
    <row r="311" spans="1:7" x14ac:dyDescent="0.35">
      <c r="A311" s="1" t="s">
        <v>261</v>
      </c>
      <c r="B311" s="1" t="s">
        <v>1</v>
      </c>
      <c r="C311">
        <v>4.63</v>
      </c>
      <c r="D311">
        <v>5</v>
      </c>
      <c r="E311" s="1" t="s">
        <v>51</v>
      </c>
      <c r="F311">
        <v>21</v>
      </c>
      <c r="G311" s="1" t="s">
        <v>43</v>
      </c>
    </row>
    <row r="312" spans="1:7" x14ac:dyDescent="0.35">
      <c r="A312" s="1" t="s">
        <v>262</v>
      </c>
      <c r="B312" s="1" t="s">
        <v>13</v>
      </c>
      <c r="C312">
        <v>55.3</v>
      </c>
      <c r="D312">
        <v>5</v>
      </c>
      <c r="E312" s="1" t="s">
        <v>51</v>
      </c>
      <c r="F312">
        <v>7</v>
      </c>
      <c r="G312" s="1" t="s">
        <v>40</v>
      </c>
    </row>
    <row r="313" spans="1:7" x14ac:dyDescent="0.35">
      <c r="A313" s="1" t="s">
        <v>263</v>
      </c>
      <c r="B313" s="1" t="s">
        <v>28</v>
      </c>
      <c r="C313">
        <v>6.48</v>
      </c>
      <c r="D313">
        <v>4</v>
      </c>
      <c r="E313" s="1" t="s">
        <v>51</v>
      </c>
      <c r="F313">
        <v>21</v>
      </c>
      <c r="G313" s="1" t="s">
        <v>43</v>
      </c>
    </row>
    <row r="314" spans="1:7" x14ac:dyDescent="0.35">
      <c r="A314" s="1" t="s">
        <v>264</v>
      </c>
      <c r="B314" s="1" t="s">
        <v>7</v>
      </c>
      <c r="C314">
        <v>34.770000000000003</v>
      </c>
      <c r="D314">
        <v>1</v>
      </c>
      <c r="E314" s="1" t="s">
        <v>51</v>
      </c>
      <c r="F314">
        <v>8</v>
      </c>
      <c r="G314" s="1" t="s">
        <v>41</v>
      </c>
    </row>
    <row r="315" spans="1:7" x14ac:dyDescent="0.35">
      <c r="A315" s="1" t="s">
        <v>265</v>
      </c>
      <c r="B315" s="1" t="s">
        <v>14</v>
      </c>
      <c r="C315">
        <v>12.36</v>
      </c>
      <c r="D315">
        <v>5</v>
      </c>
      <c r="E315" s="1" t="s">
        <v>51</v>
      </c>
      <c r="F315">
        <v>5</v>
      </c>
      <c r="G315" s="1" t="s">
        <v>40</v>
      </c>
    </row>
    <row r="316" spans="1:7" x14ac:dyDescent="0.35">
      <c r="A316" s="1" t="s">
        <v>266</v>
      </c>
      <c r="B316" s="1" t="s">
        <v>16</v>
      </c>
      <c r="C316">
        <v>56.91</v>
      </c>
      <c r="D316">
        <v>5</v>
      </c>
      <c r="E316" s="1" t="s">
        <v>51</v>
      </c>
      <c r="F316">
        <v>6</v>
      </c>
      <c r="G316" s="1" t="s">
        <v>40</v>
      </c>
    </row>
    <row r="317" spans="1:7" x14ac:dyDescent="0.35">
      <c r="A317" s="1" t="s">
        <v>267</v>
      </c>
      <c r="B317" s="1" t="s">
        <v>14</v>
      </c>
      <c r="C317">
        <v>18.079999999999998</v>
      </c>
      <c r="D317">
        <v>4</v>
      </c>
      <c r="E317" s="1" t="s">
        <v>51</v>
      </c>
      <c r="F317">
        <v>10</v>
      </c>
      <c r="G317" s="1" t="s">
        <v>40</v>
      </c>
    </row>
    <row r="318" spans="1:7" x14ac:dyDescent="0.35">
      <c r="A318" s="1" t="s">
        <v>268</v>
      </c>
      <c r="B318" s="1" t="s">
        <v>14</v>
      </c>
      <c r="C318">
        <v>19.27</v>
      </c>
      <c r="D318">
        <v>4</v>
      </c>
      <c r="E318" s="1" t="s">
        <v>51</v>
      </c>
      <c r="F318">
        <v>13</v>
      </c>
      <c r="G318" s="1" t="s">
        <v>43</v>
      </c>
    </row>
    <row r="319" spans="1:7" x14ac:dyDescent="0.35">
      <c r="A319" s="1" t="s">
        <v>269</v>
      </c>
      <c r="B319" s="1" t="s">
        <v>4</v>
      </c>
      <c r="C319">
        <v>53.5</v>
      </c>
      <c r="D319">
        <v>5</v>
      </c>
      <c r="E319" s="1" t="s">
        <v>51</v>
      </c>
      <c r="F319">
        <v>6</v>
      </c>
      <c r="G319" s="1" t="s">
        <v>40</v>
      </c>
    </row>
    <row r="320" spans="1:7" x14ac:dyDescent="0.35">
      <c r="A320" s="1" t="s">
        <v>270</v>
      </c>
      <c r="B320" s="1" t="s">
        <v>16</v>
      </c>
      <c r="C320">
        <v>32.369999999999997</v>
      </c>
      <c r="D320">
        <v>5</v>
      </c>
      <c r="E320" s="1" t="s">
        <v>51</v>
      </c>
      <c r="F320">
        <v>7</v>
      </c>
      <c r="G320" s="1" t="s">
        <v>40</v>
      </c>
    </row>
    <row r="321" spans="1:7" x14ac:dyDescent="0.35">
      <c r="A321" s="1" t="s">
        <v>267</v>
      </c>
      <c r="B321" s="1" t="s">
        <v>15</v>
      </c>
      <c r="C321">
        <v>32.96</v>
      </c>
      <c r="D321">
        <v>3</v>
      </c>
      <c r="E321" s="1" t="s">
        <v>51</v>
      </c>
      <c r="F321">
        <v>3</v>
      </c>
      <c r="G321" s="1" t="s">
        <v>41</v>
      </c>
    </row>
    <row r="322" spans="1:7" x14ac:dyDescent="0.35">
      <c r="A322" s="1" t="s">
        <v>271</v>
      </c>
      <c r="B322" s="1" t="s">
        <v>13</v>
      </c>
      <c r="C322">
        <v>35.57</v>
      </c>
      <c r="D322">
        <v>4</v>
      </c>
      <c r="E322" s="1" t="s">
        <v>51</v>
      </c>
      <c r="F322">
        <v>13</v>
      </c>
      <c r="G322" s="1" t="s">
        <v>43</v>
      </c>
    </row>
    <row r="323" spans="1:7" x14ac:dyDescent="0.35">
      <c r="A323" s="1" t="s">
        <v>268</v>
      </c>
      <c r="B323" s="1" t="s">
        <v>9</v>
      </c>
      <c r="C323">
        <v>5.95</v>
      </c>
      <c r="D323">
        <v>4</v>
      </c>
      <c r="E323" s="1" t="s">
        <v>51</v>
      </c>
      <c r="F323">
        <v>5</v>
      </c>
      <c r="G323" s="1" t="s">
        <v>40</v>
      </c>
    </row>
    <row r="324" spans="1:7" x14ac:dyDescent="0.35">
      <c r="A324" s="1" t="s">
        <v>272</v>
      </c>
      <c r="B324" s="1" t="s">
        <v>19</v>
      </c>
      <c r="C324">
        <v>41.11</v>
      </c>
      <c r="D324">
        <v>5</v>
      </c>
      <c r="E324" s="1" t="s">
        <v>68</v>
      </c>
      <c r="F324">
        <v>7</v>
      </c>
      <c r="G324" s="1" t="s">
        <v>40</v>
      </c>
    </row>
    <row r="325" spans="1:7" x14ac:dyDescent="0.35">
      <c r="A325" s="1" t="s">
        <v>273</v>
      </c>
      <c r="B325" s="1" t="s">
        <v>17</v>
      </c>
      <c r="C325">
        <v>38.47</v>
      </c>
      <c r="D325">
        <v>5</v>
      </c>
      <c r="E325" s="1" t="s">
        <v>51</v>
      </c>
      <c r="F325">
        <v>9</v>
      </c>
      <c r="G325" s="1" t="s">
        <v>40</v>
      </c>
    </row>
    <row r="326" spans="1:7" x14ac:dyDescent="0.35">
      <c r="A326" s="1" t="s">
        <v>274</v>
      </c>
      <c r="B326" s="1" t="s">
        <v>20</v>
      </c>
      <c r="C326">
        <v>5.79</v>
      </c>
      <c r="D326">
        <v>5</v>
      </c>
      <c r="E326" s="1" t="s">
        <v>51</v>
      </c>
      <c r="F326">
        <v>18</v>
      </c>
      <c r="G326" s="1" t="s">
        <v>43</v>
      </c>
    </row>
    <row r="327" spans="1:7" x14ac:dyDescent="0.35">
      <c r="A327" s="1" t="s">
        <v>275</v>
      </c>
      <c r="B327" s="1" t="s">
        <v>3</v>
      </c>
      <c r="C327">
        <v>45.74</v>
      </c>
      <c r="D327">
        <v>4</v>
      </c>
      <c r="E327" s="1" t="s">
        <v>51</v>
      </c>
      <c r="F327">
        <v>7</v>
      </c>
      <c r="G327" s="1" t="s">
        <v>40</v>
      </c>
    </row>
    <row r="328" spans="1:7" x14ac:dyDescent="0.35">
      <c r="A328" s="1" t="s">
        <v>269</v>
      </c>
      <c r="B328" s="1" t="s">
        <v>25</v>
      </c>
      <c r="C328">
        <v>11.06</v>
      </c>
      <c r="D328">
        <v>3</v>
      </c>
      <c r="E328" s="1" t="s">
        <v>51</v>
      </c>
      <c r="F328">
        <v>22</v>
      </c>
      <c r="G328" s="1" t="s">
        <v>42</v>
      </c>
    </row>
    <row r="329" spans="1:7" x14ac:dyDescent="0.35">
      <c r="A329" s="1" t="s">
        <v>276</v>
      </c>
      <c r="B329" s="1" t="s">
        <v>20</v>
      </c>
      <c r="C329">
        <v>53.09</v>
      </c>
      <c r="D329">
        <v>1</v>
      </c>
      <c r="E329" s="1" t="s">
        <v>51</v>
      </c>
      <c r="F329">
        <v>22</v>
      </c>
      <c r="G329" s="1" t="s">
        <v>42</v>
      </c>
    </row>
    <row r="330" spans="1:7" x14ac:dyDescent="0.35">
      <c r="A330" s="1" t="s">
        <v>277</v>
      </c>
      <c r="B330" s="1" t="s">
        <v>28</v>
      </c>
      <c r="C330">
        <v>20.74</v>
      </c>
      <c r="D330">
        <v>5</v>
      </c>
      <c r="E330" s="1" t="s">
        <v>51</v>
      </c>
      <c r="F330">
        <v>8</v>
      </c>
      <c r="G330" s="1" t="s">
        <v>40</v>
      </c>
    </row>
    <row r="331" spans="1:7" x14ac:dyDescent="0.35">
      <c r="A331" s="1" t="s">
        <v>278</v>
      </c>
      <c r="B331" s="1" t="s">
        <v>17</v>
      </c>
      <c r="C331">
        <v>50.11</v>
      </c>
      <c r="D331">
        <v>5</v>
      </c>
      <c r="E331" s="1" t="s">
        <v>51</v>
      </c>
      <c r="F331">
        <v>8</v>
      </c>
      <c r="G331" s="1" t="s">
        <v>40</v>
      </c>
    </row>
    <row r="332" spans="1:7" x14ac:dyDescent="0.35">
      <c r="A332" s="1" t="s">
        <v>278</v>
      </c>
      <c r="B332" s="1" t="s">
        <v>18</v>
      </c>
      <c r="C332">
        <v>26.47</v>
      </c>
      <c r="D332">
        <v>2</v>
      </c>
      <c r="E332" s="1" t="s">
        <v>51</v>
      </c>
      <c r="F332">
        <v>2</v>
      </c>
      <c r="G332" s="1" t="s">
        <v>41</v>
      </c>
    </row>
    <row r="333" spans="1:7" x14ac:dyDescent="0.35">
      <c r="A333" s="1" t="s">
        <v>268</v>
      </c>
      <c r="B333" s="1" t="s">
        <v>17</v>
      </c>
      <c r="C333">
        <v>35.68</v>
      </c>
      <c r="D333">
        <v>2</v>
      </c>
      <c r="E333" s="1" t="s">
        <v>51</v>
      </c>
      <c r="F333">
        <v>3</v>
      </c>
      <c r="G333" s="1" t="s">
        <v>41</v>
      </c>
    </row>
    <row r="334" spans="1:7" x14ac:dyDescent="0.35">
      <c r="A334" s="1" t="s">
        <v>279</v>
      </c>
      <c r="B334" s="1" t="s">
        <v>14</v>
      </c>
      <c r="C334">
        <v>53.22</v>
      </c>
      <c r="D334">
        <v>5</v>
      </c>
      <c r="E334" s="1" t="s">
        <v>51</v>
      </c>
      <c r="F334">
        <v>10</v>
      </c>
      <c r="G334" s="1" t="s">
        <v>40</v>
      </c>
    </row>
    <row r="335" spans="1:7" x14ac:dyDescent="0.35">
      <c r="A335" s="1" t="s">
        <v>280</v>
      </c>
      <c r="B335" s="1" t="s">
        <v>25</v>
      </c>
      <c r="C335">
        <v>41.99</v>
      </c>
      <c r="D335">
        <v>5</v>
      </c>
      <c r="E335" s="1" t="s">
        <v>51</v>
      </c>
      <c r="F335">
        <v>11</v>
      </c>
      <c r="G335" s="1" t="s">
        <v>43</v>
      </c>
    </row>
    <row r="336" spans="1:7" x14ac:dyDescent="0.35">
      <c r="A336" s="1" t="s">
        <v>281</v>
      </c>
      <c r="B336" s="1" t="s">
        <v>19</v>
      </c>
      <c r="C336">
        <v>20.56</v>
      </c>
      <c r="D336">
        <v>5</v>
      </c>
      <c r="E336" s="1" t="s">
        <v>51</v>
      </c>
      <c r="F336">
        <v>6</v>
      </c>
      <c r="G336" s="1" t="s">
        <v>40</v>
      </c>
    </row>
    <row r="337" spans="1:7" x14ac:dyDescent="0.35">
      <c r="A337" s="1" t="s">
        <v>282</v>
      </c>
      <c r="B337" s="1" t="s">
        <v>6</v>
      </c>
      <c r="C337">
        <v>33.71</v>
      </c>
      <c r="D337">
        <v>3</v>
      </c>
      <c r="E337" s="1" t="s">
        <v>51</v>
      </c>
      <c r="F337">
        <v>9</v>
      </c>
      <c r="G337" s="1" t="s">
        <v>41</v>
      </c>
    </row>
    <row r="338" spans="1:7" x14ac:dyDescent="0.35">
      <c r="A338" s="1" t="s">
        <v>281</v>
      </c>
      <c r="B338" s="1" t="s">
        <v>27</v>
      </c>
      <c r="C338">
        <v>7.99</v>
      </c>
      <c r="D338">
        <v>5</v>
      </c>
      <c r="E338" s="1" t="s">
        <v>51</v>
      </c>
      <c r="F338">
        <v>7</v>
      </c>
      <c r="G338" s="1" t="s">
        <v>40</v>
      </c>
    </row>
    <row r="339" spans="1:7" x14ac:dyDescent="0.35">
      <c r="A339" s="1" t="s">
        <v>283</v>
      </c>
      <c r="B339" s="1" t="s">
        <v>14</v>
      </c>
      <c r="C339">
        <v>53.26</v>
      </c>
      <c r="D339">
        <v>3</v>
      </c>
      <c r="E339" s="1" t="s">
        <v>51</v>
      </c>
      <c r="F339">
        <v>16</v>
      </c>
      <c r="G339" s="1" t="s">
        <v>42</v>
      </c>
    </row>
    <row r="340" spans="1:7" x14ac:dyDescent="0.35">
      <c r="A340" s="1" t="s">
        <v>269</v>
      </c>
      <c r="B340" s="1" t="s">
        <v>2</v>
      </c>
      <c r="C340">
        <v>35.450000000000003</v>
      </c>
      <c r="D340">
        <v>1</v>
      </c>
      <c r="E340" s="1" t="s">
        <v>51</v>
      </c>
      <c r="F340">
        <v>7</v>
      </c>
      <c r="G340" s="1" t="s">
        <v>41</v>
      </c>
    </row>
    <row r="341" spans="1:7" x14ac:dyDescent="0.35">
      <c r="A341" s="1" t="s">
        <v>272</v>
      </c>
      <c r="B341" s="1" t="s">
        <v>9</v>
      </c>
      <c r="C341">
        <v>28.58</v>
      </c>
      <c r="D341">
        <v>4</v>
      </c>
      <c r="E341" s="1" t="s">
        <v>51</v>
      </c>
      <c r="F341">
        <v>11</v>
      </c>
      <c r="G341" s="1" t="s">
        <v>43</v>
      </c>
    </row>
    <row r="342" spans="1:7" x14ac:dyDescent="0.35">
      <c r="A342" s="1" t="s">
        <v>284</v>
      </c>
      <c r="B342" s="1" t="s">
        <v>4</v>
      </c>
      <c r="C342">
        <v>20.420000000000002</v>
      </c>
      <c r="D342">
        <v>3</v>
      </c>
      <c r="E342" s="1" t="s">
        <v>51</v>
      </c>
      <c r="F342">
        <v>22</v>
      </c>
      <c r="G342" s="1" t="s">
        <v>42</v>
      </c>
    </row>
    <row r="343" spans="1:7" x14ac:dyDescent="0.35">
      <c r="A343" s="1" t="s">
        <v>285</v>
      </c>
      <c r="B343" s="1" t="s">
        <v>18</v>
      </c>
      <c r="C343">
        <v>31.24</v>
      </c>
      <c r="D343">
        <v>5</v>
      </c>
      <c r="E343" s="1" t="s">
        <v>51</v>
      </c>
      <c r="F343">
        <v>13</v>
      </c>
      <c r="G343" s="1" t="s">
        <v>43</v>
      </c>
    </row>
    <row r="344" spans="1:7" x14ac:dyDescent="0.35">
      <c r="A344" s="1" t="s">
        <v>255</v>
      </c>
      <c r="B344" s="1" t="s">
        <v>3</v>
      </c>
      <c r="C344">
        <v>23.1</v>
      </c>
      <c r="D344">
        <v>4</v>
      </c>
      <c r="E344" s="1" t="s">
        <v>51</v>
      </c>
      <c r="F344">
        <v>1</v>
      </c>
      <c r="G344" s="1" t="s">
        <v>40</v>
      </c>
    </row>
    <row r="345" spans="1:7" x14ac:dyDescent="0.35">
      <c r="A345" s="1" t="s">
        <v>286</v>
      </c>
      <c r="B345" s="1" t="s">
        <v>2</v>
      </c>
      <c r="C345">
        <v>36.57</v>
      </c>
      <c r="D345">
        <v>4</v>
      </c>
      <c r="E345" s="1" t="s">
        <v>68</v>
      </c>
      <c r="F345">
        <v>13</v>
      </c>
      <c r="G345" s="1" t="s">
        <v>43</v>
      </c>
    </row>
    <row r="346" spans="1:7" x14ac:dyDescent="0.35">
      <c r="A346" s="1" t="s">
        <v>257</v>
      </c>
      <c r="B346" s="1" t="s">
        <v>22</v>
      </c>
      <c r="C346">
        <v>17.739999999999998</v>
      </c>
      <c r="D346">
        <v>3</v>
      </c>
      <c r="E346" s="1" t="s">
        <v>51</v>
      </c>
      <c r="F346">
        <v>3</v>
      </c>
      <c r="G346" s="1" t="s">
        <v>41</v>
      </c>
    </row>
    <row r="347" spans="1:7" x14ac:dyDescent="0.35">
      <c r="A347" s="1" t="s">
        <v>267</v>
      </c>
      <c r="B347" s="1" t="s">
        <v>4</v>
      </c>
      <c r="C347">
        <v>29.01</v>
      </c>
      <c r="D347">
        <v>4</v>
      </c>
      <c r="E347" s="1" t="s">
        <v>61</v>
      </c>
      <c r="F347">
        <v>0</v>
      </c>
      <c r="G347" s="1" t="s">
        <v>40</v>
      </c>
    </row>
    <row r="348" spans="1:7" x14ac:dyDescent="0.35">
      <c r="A348" s="1" t="s">
        <v>287</v>
      </c>
      <c r="B348" s="1" t="s">
        <v>29</v>
      </c>
      <c r="C348">
        <v>55.21</v>
      </c>
      <c r="D348">
        <v>3</v>
      </c>
      <c r="E348" s="1" t="s">
        <v>68</v>
      </c>
      <c r="F348">
        <v>10</v>
      </c>
      <c r="G348" s="1" t="s">
        <v>41</v>
      </c>
    </row>
    <row r="349" spans="1:7" x14ac:dyDescent="0.35">
      <c r="A349" s="1" t="s">
        <v>288</v>
      </c>
      <c r="B349" s="1" t="s">
        <v>20</v>
      </c>
      <c r="C349">
        <v>18.22</v>
      </c>
      <c r="D349">
        <v>5</v>
      </c>
      <c r="E349" s="1" t="s">
        <v>51</v>
      </c>
      <c r="F349">
        <v>7</v>
      </c>
      <c r="G349" s="1" t="s">
        <v>40</v>
      </c>
    </row>
    <row r="350" spans="1:7" x14ac:dyDescent="0.35">
      <c r="A350" s="1" t="s">
        <v>261</v>
      </c>
      <c r="B350" s="1" t="s">
        <v>17</v>
      </c>
      <c r="C350">
        <v>45</v>
      </c>
      <c r="D350">
        <v>5</v>
      </c>
      <c r="E350" s="1" t="s">
        <v>51</v>
      </c>
      <c r="F350">
        <v>1</v>
      </c>
      <c r="G350" s="1" t="s">
        <v>40</v>
      </c>
    </row>
    <row r="351" spans="1:7" x14ac:dyDescent="0.35">
      <c r="A351" s="1" t="s">
        <v>289</v>
      </c>
      <c r="B351" s="1" t="s">
        <v>15</v>
      </c>
      <c r="C351">
        <v>32.54</v>
      </c>
      <c r="D351">
        <v>4</v>
      </c>
      <c r="E351" s="1" t="s">
        <v>51</v>
      </c>
      <c r="F351">
        <v>1</v>
      </c>
      <c r="G351" s="1" t="s">
        <v>40</v>
      </c>
    </row>
    <row r="352" spans="1:7" x14ac:dyDescent="0.35">
      <c r="A352" s="1" t="s">
        <v>290</v>
      </c>
      <c r="B352" s="1" t="s">
        <v>3</v>
      </c>
      <c r="C352">
        <v>3.87</v>
      </c>
      <c r="D352">
        <v>4</v>
      </c>
      <c r="E352" s="1" t="s">
        <v>51</v>
      </c>
      <c r="F352">
        <v>8</v>
      </c>
      <c r="G352" s="1" t="s">
        <v>40</v>
      </c>
    </row>
    <row r="353" spans="1:7" x14ac:dyDescent="0.35">
      <c r="A353" s="1" t="s">
        <v>291</v>
      </c>
      <c r="B353" s="1" t="s">
        <v>17</v>
      </c>
      <c r="C353">
        <v>20.03</v>
      </c>
      <c r="D353">
        <v>4</v>
      </c>
      <c r="E353" s="1" t="s">
        <v>51</v>
      </c>
      <c r="F353">
        <v>18</v>
      </c>
      <c r="G353" s="1" t="s">
        <v>43</v>
      </c>
    </row>
    <row r="354" spans="1:7" x14ac:dyDescent="0.35">
      <c r="A354" s="1" t="s">
        <v>292</v>
      </c>
      <c r="B354" s="1" t="s">
        <v>30</v>
      </c>
      <c r="C354">
        <v>36.33</v>
      </c>
      <c r="D354">
        <v>5</v>
      </c>
      <c r="E354" s="1" t="s">
        <v>51</v>
      </c>
      <c r="F354">
        <v>18</v>
      </c>
      <c r="G354" s="1" t="s">
        <v>43</v>
      </c>
    </row>
    <row r="355" spans="1:7" x14ac:dyDescent="0.35">
      <c r="A355" s="1" t="s">
        <v>293</v>
      </c>
      <c r="B355" s="1" t="s">
        <v>27</v>
      </c>
      <c r="C355">
        <v>20.77</v>
      </c>
      <c r="D355">
        <v>4</v>
      </c>
      <c r="E355" s="1" t="s">
        <v>51</v>
      </c>
      <c r="F355">
        <v>13</v>
      </c>
      <c r="G355" s="1" t="s">
        <v>43</v>
      </c>
    </row>
    <row r="356" spans="1:7" x14ac:dyDescent="0.35">
      <c r="A356" s="1" t="s">
        <v>294</v>
      </c>
      <c r="B356" s="1" t="s">
        <v>18</v>
      </c>
      <c r="C356">
        <v>3.24</v>
      </c>
      <c r="D356">
        <v>5</v>
      </c>
      <c r="E356" s="1" t="s">
        <v>51</v>
      </c>
      <c r="F356">
        <v>15</v>
      </c>
      <c r="G356" s="1" t="s">
        <v>43</v>
      </c>
    </row>
    <row r="357" spans="1:7" x14ac:dyDescent="0.35">
      <c r="A357" s="1" t="s">
        <v>295</v>
      </c>
      <c r="B357" s="1" t="s">
        <v>10</v>
      </c>
      <c r="C357">
        <v>48.28</v>
      </c>
      <c r="D357">
        <v>4</v>
      </c>
      <c r="E357" s="1" t="s">
        <v>51</v>
      </c>
      <c r="F357">
        <v>13</v>
      </c>
      <c r="G357" s="1" t="s">
        <v>43</v>
      </c>
    </row>
    <row r="358" spans="1:7" x14ac:dyDescent="0.35">
      <c r="A358" s="1" t="s">
        <v>290</v>
      </c>
      <c r="B358" s="1" t="s">
        <v>9</v>
      </c>
      <c r="C358">
        <v>19.37</v>
      </c>
      <c r="D358">
        <v>5</v>
      </c>
      <c r="E358" s="1" t="s">
        <v>51</v>
      </c>
      <c r="F358">
        <v>6</v>
      </c>
      <c r="G358" s="1" t="s">
        <v>40</v>
      </c>
    </row>
    <row r="359" spans="1:7" x14ac:dyDescent="0.35">
      <c r="A359" s="1" t="s">
        <v>296</v>
      </c>
      <c r="B359" s="1" t="s">
        <v>25</v>
      </c>
      <c r="C359">
        <v>2.17</v>
      </c>
      <c r="D359">
        <v>4</v>
      </c>
      <c r="E359" s="1" t="s">
        <v>68</v>
      </c>
      <c r="F359">
        <v>10</v>
      </c>
      <c r="G359" s="1" t="s">
        <v>40</v>
      </c>
    </row>
    <row r="360" spans="1:7" x14ac:dyDescent="0.35">
      <c r="A360" s="1" t="s">
        <v>297</v>
      </c>
      <c r="B360" s="1" t="s">
        <v>25</v>
      </c>
      <c r="C360">
        <v>24.86</v>
      </c>
      <c r="D360">
        <v>4</v>
      </c>
      <c r="E360" s="1" t="s">
        <v>51</v>
      </c>
      <c r="F360">
        <v>12</v>
      </c>
      <c r="G360" s="1" t="s">
        <v>43</v>
      </c>
    </row>
    <row r="361" spans="1:7" x14ac:dyDescent="0.35">
      <c r="A361" s="1" t="s">
        <v>298</v>
      </c>
      <c r="B361" s="1" t="s">
        <v>21</v>
      </c>
      <c r="C361">
        <v>42.08</v>
      </c>
      <c r="D361">
        <v>4</v>
      </c>
      <c r="E361" s="1" t="s">
        <v>61</v>
      </c>
      <c r="F361">
        <v>0</v>
      </c>
      <c r="G361" s="1" t="s">
        <v>40</v>
      </c>
    </row>
    <row r="362" spans="1:7" x14ac:dyDescent="0.35">
      <c r="A362" s="1" t="s">
        <v>299</v>
      </c>
      <c r="B362" s="1" t="s">
        <v>30</v>
      </c>
      <c r="C362">
        <v>6.45</v>
      </c>
      <c r="D362">
        <v>5</v>
      </c>
      <c r="E362" s="1" t="s">
        <v>51</v>
      </c>
      <c r="F362">
        <v>19</v>
      </c>
      <c r="G362" s="1" t="s">
        <v>43</v>
      </c>
    </row>
    <row r="363" spans="1:7" x14ac:dyDescent="0.35">
      <c r="A363" s="1" t="s">
        <v>300</v>
      </c>
      <c r="B363" s="1" t="s">
        <v>14</v>
      </c>
      <c r="C363">
        <v>46.82</v>
      </c>
      <c r="D363">
        <v>3</v>
      </c>
      <c r="E363" s="1" t="s">
        <v>51</v>
      </c>
      <c r="F363">
        <v>7</v>
      </c>
      <c r="G363" s="1" t="s">
        <v>41</v>
      </c>
    </row>
    <row r="364" spans="1:7" x14ac:dyDescent="0.35">
      <c r="A364" s="1" t="s">
        <v>301</v>
      </c>
      <c r="B364" s="1" t="s">
        <v>15</v>
      </c>
      <c r="C364">
        <v>27.58</v>
      </c>
      <c r="D364">
        <v>5</v>
      </c>
      <c r="E364" s="1" t="s">
        <v>51</v>
      </c>
      <c r="F364">
        <v>2</v>
      </c>
      <c r="G364" s="1" t="s">
        <v>40</v>
      </c>
    </row>
    <row r="365" spans="1:7" x14ac:dyDescent="0.35">
      <c r="A365" s="1" t="s">
        <v>302</v>
      </c>
      <c r="B365" s="1" t="s">
        <v>30</v>
      </c>
      <c r="C365">
        <v>6.95</v>
      </c>
      <c r="D365">
        <v>2</v>
      </c>
      <c r="E365" s="1" t="s">
        <v>51</v>
      </c>
      <c r="F365">
        <v>1</v>
      </c>
      <c r="G365" s="1" t="s">
        <v>41</v>
      </c>
    </row>
    <row r="366" spans="1:7" x14ac:dyDescent="0.35">
      <c r="A366" s="1" t="s">
        <v>303</v>
      </c>
      <c r="B366" s="1" t="s">
        <v>10</v>
      </c>
      <c r="C366">
        <v>56.51</v>
      </c>
      <c r="D366">
        <v>4</v>
      </c>
      <c r="E366" s="1" t="s">
        <v>51</v>
      </c>
      <c r="F366">
        <v>2</v>
      </c>
      <c r="G366" s="1" t="s">
        <v>40</v>
      </c>
    </row>
    <row r="367" spans="1:7" x14ac:dyDescent="0.35">
      <c r="A367" s="1" t="s">
        <v>304</v>
      </c>
      <c r="B367" s="1" t="s">
        <v>6</v>
      </c>
      <c r="C367">
        <v>29.03</v>
      </c>
      <c r="D367">
        <v>4</v>
      </c>
      <c r="E367" s="1" t="s">
        <v>51</v>
      </c>
      <c r="F367">
        <v>21</v>
      </c>
      <c r="G367" s="1" t="s">
        <v>43</v>
      </c>
    </row>
    <row r="368" spans="1:7" x14ac:dyDescent="0.35">
      <c r="A368" s="1" t="s">
        <v>305</v>
      </c>
      <c r="B368" s="1" t="s">
        <v>6</v>
      </c>
      <c r="C368">
        <v>42.26</v>
      </c>
      <c r="D368">
        <v>2</v>
      </c>
      <c r="E368" s="1" t="s">
        <v>51</v>
      </c>
      <c r="F368">
        <v>20</v>
      </c>
      <c r="G368" s="1" t="s">
        <v>42</v>
      </c>
    </row>
    <row r="369" spans="1:7" x14ac:dyDescent="0.35">
      <c r="A369" s="1" t="s">
        <v>301</v>
      </c>
      <c r="B369" s="1" t="s">
        <v>10</v>
      </c>
      <c r="C369">
        <v>15.36</v>
      </c>
      <c r="D369">
        <v>3</v>
      </c>
      <c r="E369" s="1" t="s">
        <v>61</v>
      </c>
      <c r="F369">
        <v>0</v>
      </c>
      <c r="G369" s="1" t="s">
        <v>41</v>
      </c>
    </row>
    <row r="370" spans="1:7" x14ac:dyDescent="0.35">
      <c r="A370" s="1" t="s">
        <v>306</v>
      </c>
      <c r="B370" s="1" t="s">
        <v>2</v>
      </c>
      <c r="C370">
        <v>41.81</v>
      </c>
      <c r="D370">
        <v>5</v>
      </c>
      <c r="E370" s="1" t="s">
        <v>61</v>
      </c>
      <c r="F370">
        <v>0</v>
      </c>
      <c r="G370" s="1" t="s">
        <v>40</v>
      </c>
    </row>
    <row r="371" spans="1:7" x14ac:dyDescent="0.35">
      <c r="A371" s="1" t="s">
        <v>307</v>
      </c>
      <c r="B371" s="1" t="s">
        <v>16</v>
      </c>
      <c r="C371">
        <v>12.1</v>
      </c>
      <c r="D371">
        <v>5</v>
      </c>
      <c r="E371" s="1" t="s">
        <v>51</v>
      </c>
      <c r="F371">
        <v>5</v>
      </c>
      <c r="G371" s="1" t="s">
        <v>40</v>
      </c>
    </row>
    <row r="372" spans="1:7" x14ac:dyDescent="0.35">
      <c r="A372" s="1" t="s">
        <v>308</v>
      </c>
      <c r="B372" s="1" t="s">
        <v>20</v>
      </c>
      <c r="C372">
        <v>51.28</v>
      </c>
      <c r="D372">
        <v>3</v>
      </c>
      <c r="E372" s="1" t="s">
        <v>51</v>
      </c>
      <c r="F372">
        <v>10</v>
      </c>
      <c r="G372" s="1" t="s">
        <v>41</v>
      </c>
    </row>
    <row r="373" spans="1:7" x14ac:dyDescent="0.35">
      <c r="A373" s="1" t="s">
        <v>309</v>
      </c>
      <c r="B373" s="1" t="s">
        <v>25</v>
      </c>
      <c r="C373">
        <v>18.2</v>
      </c>
      <c r="D373">
        <v>5</v>
      </c>
      <c r="E373" s="1" t="s">
        <v>51</v>
      </c>
      <c r="F373">
        <v>11</v>
      </c>
      <c r="G373" s="1" t="s">
        <v>43</v>
      </c>
    </row>
    <row r="374" spans="1:7" x14ac:dyDescent="0.35">
      <c r="A374" s="1" t="s">
        <v>296</v>
      </c>
      <c r="B374" s="1" t="s">
        <v>1</v>
      </c>
      <c r="C374">
        <v>40.99</v>
      </c>
      <c r="D374">
        <v>5</v>
      </c>
      <c r="E374" s="1" t="s">
        <v>51</v>
      </c>
      <c r="F374">
        <v>13</v>
      </c>
      <c r="G374" s="1" t="s">
        <v>43</v>
      </c>
    </row>
    <row r="375" spans="1:7" x14ac:dyDescent="0.35">
      <c r="A375" s="1" t="s">
        <v>310</v>
      </c>
      <c r="B375" s="1" t="s">
        <v>25</v>
      </c>
      <c r="C375">
        <v>18.170000000000002</v>
      </c>
      <c r="D375">
        <v>2</v>
      </c>
      <c r="E375" s="1" t="s">
        <v>51</v>
      </c>
      <c r="F375">
        <v>7</v>
      </c>
      <c r="G375" s="1" t="s">
        <v>41</v>
      </c>
    </row>
    <row r="376" spans="1:7" x14ac:dyDescent="0.35">
      <c r="A376" s="1" t="s">
        <v>293</v>
      </c>
      <c r="B376" s="1" t="s">
        <v>18</v>
      </c>
      <c r="C376">
        <v>20.97</v>
      </c>
      <c r="D376">
        <v>4</v>
      </c>
      <c r="E376" s="1" t="s">
        <v>51</v>
      </c>
      <c r="F376">
        <v>13</v>
      </c>
      <c r="G376" s="1" t="s">
        <v>43</v>
      </c>
    </row>
    <row r="377" spans="1:7" x14ac:dyDescent="0.35">
      <c r="A377" s="1" t="s">
        <v>311</v>
      </c>
      <c r="B377" s="1" t="s">
        <v>3</v>
      </c>
      <c r="C377">
        <v>8.08</v>
      </c>
      <c r="D377">
        <v>2</v>
      </c>
      <c r="E377" s="1" t="s">
        <v>51</v>
      </c>
      <c r="F377">
        <v>22</v>
      </c>
      <c r="G377" s="1" t="s">
        <v>42</v>
      </c>
    </row>
    <row r="378" spans="1:7" x14ac:dyDescent="0.35">
      <c r="A378" s="1" t="s">
        <v>312</v>
      </c>
      <c r="B378" s="1" t="s">
        <v>20</v>
      </c>
      <c r="C378">
        <v>11.91</v>
      </c>
      <c r="D378">
        <v>5</v>
      </c>
      <c r="E378" s="1" t="s">
        <v>51</v>
      </c>
      <c r="F378">
        <v>18</v>
      </c>
      <c r="G378" s="1" t="s">
        <v>43</v>
      </c>
    </row>
    <row r="379" spans="1:7" x14ac:dyDescent="0.35">
      <c r="A379" s="1" t="s">
        <v>313</v>
      </c>
      <c r="B379" s="1" t="s">
        <v>17</v>
      </c>
      <c r="C379">
        <v>8.26</v>
      </c>
      <c r="D379">
        <v>2</v>
      </c>
      <c r="E379" s="1" t="s">
        <v>51</v>
      </c>
      <c r="F379">
        <v>6</v>
      </c>
      <c r="G379" s="1" t="s">
        <v>41</v>
      </c>
    </row>
    <row r="380" spans="1:7" x14ac:dyDescent="0.35">
      <c r="A380" s="1" t="s">
        <v>314</v>
      </c>
      <c r="B380" s="1" t="s">
        <v>5</v>
      </c>
      <c r="C380">
        <v>35.04</v>
      </c>
      <c r="D380">
        <v>4</v>
      </c>
      <c r="E380" s="1" t="s">
        <v>51</v>
      </c>
      <c r="F380">
        <v>12</v>
      </c>
      <c r="G380" s="1" t="s">
        <v>43</v>
      </c>
    </row>
    <row r="381" spans="1:7" x14ac:dyDescent="0.35">
      <c r="A381" s="1" t="s">
        <v>315</v>
      </c>
      <c r="B381" s="1" t="s">
        <v>12</v>
      </c>
      <c r="C381">
        <v>23.52</v>
      </c>
      <c r="D381">
        <v>5</v>
      </c>
      <c r="E381" s="1" t="s">
        <v>51</v>
      </c>
      <c r="F381">
        <v>3</v>
      </c>
      <c r="G381" s="1" t="s">
        <v>40</v>
      </c>
    </row>
    <row r="382" spans="1:7" x14ac:dyDescent="0.35">
      <c r="A382" s="1" t="s">
        <v>316</v>
      </c>
      <c r="B382" s="1" t="s">
        <v>2</v>
      </c>
      <c r="C382">
        <v>26.58</v>
      </c>
      <c r="D382">
        <v>1</v>
      </c>
      <c r="E382" s="1" t="s">
        <v>51</v>
      </c>
      <c r="F382">
        <v>3</v>
      </c>
      <c r="G382" s="1" t="s">
        <v>41</v>
      </c>
    </row>
    <row r="383" spans="1:7" x14ac:dyDescent="0.35">
      <c r="A383" s="1" t="s">
        <v>317</v>
      </c>
      <c r="B383" s="1" t="s">
        <v>15</v>
      </c>
      <c r="C383">
        <v>11.37</v>
      </c>
      <c r="D383">
        <v>5</v>
      </c>
      <c r="E383" s="1" t="s">
        <v>51</v>
      </c>
      <c r="F383">
        <v>16</v>
      </c>
      <c r="G383" s="1" t="s">
        <v>43</v>
      </c>
    </row>
    <row r="384" spans="1:7" x14ac:dyDescent="0.35">
      <c r="A384" s="1" t="s">
        <v>294</v>
      </c>
      <c r="B384" s="1" t="s">
        <v>14</v>
      </c>
      <c r="C384">
        <v>8.5299999999999994</v>
      </c>
      <c r="D384">
        <v>1</v>
      </c>
      <c r="E384" s="1" t="s">
        <v>51</v>
      </c>
      <c r="F384">
        <v>5</v>
      </c>
      <c r="G384" s="1" t="s">
        <v>41</v>
      </c>
    </row>
    <row r="385" spans="1:7" x14ac:dyDescent="0.35">
      <c r="A385" s="1" t="s">
        <v>290</v>
      </c>
      <c r="B385" s="1" t="s">
        <v>24</v>
      </c>
      <c r="C385">
        <v>56.55</v>
      </c>
      <c r="D385">
        <v>5</v>
      </c>
      <c r="E385" s="1" t="s">
        <v>51</v>
      </c>
      <c r="F385">
        <v>10</v>
      </c>
      <c r="G385" s="1" t="s">
        <v>40</v>
      </c>
    </row>
    <row r="386" spans="1:7" x14ac:dyDescent="0.35">
      <c r="A386" s="1" t="s">
        <v>305</v>
      </c>
      <c r="B386" s="1" t="s">
        <v>4</v>
      </c>
      <c r="C386">
        <v>31.01</v>
      </c>
      <c r="D386">
        <v>5</v>
      </c>
      <c r="E386" s="1" t="s">
        <v>51</v>
      </c>
      <c r="F386">
        <v>17</v>
      </c>
      <c r="G386" s="1" t="s">
        <v>43</v>
      </c>
    </row>
    <row r="387" spans="1:7" x14ac:dyDescent="0.35">
      <c r="A387" s="1" t="s">
        <v>318</v>
      </c>
      <c r="B387" s="1" t="s">
        <v>4</v>
      </c>
      <c r="C387">
        <v>36.94</v>
      </c>
      <c r="D387">
        <v>4</v>
      </c>
      <c r="E387" s="1" t="s">
        <v>61</v>
      </c>
      <c r="F387">
        <v>0</v>
      </c>
      <c r="G387" s="1" t="s">
        <v>40</v>
      </c>
    </row>
    <row r="388" spans="1:7" x14ac:dyDescent="0.35">
      <c r="A388" s="1" t="s">
        <v>319</v>
      </c>
      <c r="B388" s="1" t="s">
        <v>15</v>
      </c>
      <c r="C388">
        <v>18.11</v>
      </c>
      <c r="D388">
        <v>4</v>
      </c>
      <c r="E388" s="1" t="s">
        <v>51</v>
      </c>
      <c r="F388">
        <v>1</v>
      </c>
      <c r="G388" s="1" t="s">
        <v>40</v>
      </c>
    </row>
    <row r="389" spans="1:7" x14ac:dyDescent="0.35">
      <c r="A389" s="1" t="s">
        <v>320</v>
      </c>
      <c r="B389" s="1" t="s">
        <v>29</v>
      </c>
      <c r="C389">
        <v>43.62</v>
      </c>
      <c r="D389">
        <v>4</v>
      </c>
      <c r="E389" s="1" t="s">
        <v>51</v>
      </c>
      <c r="F389">
        <v>14</v>
      </c>
      <c r="G389" s="1" t="s">
        <v>43</v>
      </c>
    </row>
    <row r="390" spans="1:7" x14ac:dyDescent="0.35">
      <c r="A390" s="1" t="s">
        <v>321</v>
      </c>
      <c r="B390" s="1" t="s">
        <v>19</v>
      </c>
      <c r="C390">
        <v>26.92</v>
      </c>
      <c r="D390">
        <v>2</v>
      </c>
      <c r="E390" s="1" t="s">
        <v>51</v>
      </c>
      <c r="F390">
        <v>1</v>
      </c>
      <c r="G390" s="1" t="s">
        <v>41</v>
      </c>
    </row>
    <row r="391" spans="1:7" x14ac:dyDescent="0.35">
      <c r="A391" s="1" t="s">
        <v>322</v>
      </c>
      <c r="B391" s="1" t="s">
        <v>26</v>
      </c>
      <c r="C391">
        <v>8.52</v>
      </c>
      <c r="D391">
        <v>5</v>
      </c>
      <c r="E391" s="1" t="s">
        <v>51</v>
      </c>
      <c r="F391">
        <v>13</v>
      </c>
      <c r="G391" s="1" t="s">
        <v>43</v>
      </c>
    </row>
    <row r="392" spans="1:7" x14ac:dyDescent="0.35">
      <c r="A392" s="1" t="s">
        <v>302</v>
      </c>
      <c r="B392" s="1" t="s">
        <v>7</v>
      </c>
      <c r="C392">
        <v>17.649999999999999</v>
      </c>
      <c r="D392">
        <v>2</v>
      </c>
      <c r="E392" s="1" t="s">
        <v>51</v>
      </c>
      <c r="F392">
        <v>20</v>
      </c>
      <c r="G392" s="1" t="s">
        <v>42</v>
      </c>
    </row>
    <row r="393" spans="1:7" x14ac:dyDescent="0.35">
      <c r="A393" s="1" t="s">
        <v>301</v>
      </c>
      <c r="B393" s="1" t="s">
        <v>18</v>
      </c>
      <c r="C393">
        <v>9.77</v>
      </c>
      <c r="D393">
        <v>2</v>
      </c>
      <c r="E393" s="1" t="s">
        <v>51</v>
      </c>
      <c r="F393">
        <v>9</v>
      </c>
      <c r="G393" s="1" t="s">
        <v>41</v>
      </c>
    </row>
    <row r="394" spans="1:7" x14ac:dyDescent="0.35">
      <c r="A394" s="1" t="s">
        <v>323</v>
      </c>
      <c r="B394" s="1" t="s">
        <v>12</v>
      </c>
      <c r="C394">
        <v>56.63</v>
      </c>
      <c r="D394">
        <v>5</v>
      </c>
      <c r="E394" s="1" t="s">
        <v>51</v>
      </c>
      <c r="F394">
        <v>2</v>
      </c>
      <c r="G394" s="1" t="s">
        <v>40</v>
      </c>
    </row>
    <row r="395" spans="1:7" x14ac:dyDescent="0.35">
      <c r="A395" s="1" t="s">
        <v>306</v>
      </c>
      <c r="B395" s="1" t="s">
        <v>21</v>
      </c>
      <c r="C395">
        <v>44.73</v>
      </c>
      <c r="D395">
        <v>4</v>
      </c>
      <c r="E395" s="1" t="s">
        <v>51</v>
      </c>
      <c r="F395">
        <v>17</v>
      </c>
      <c r="G395" s="1" t="s">
        <v>43</v>
      </c>
    </row>
    <row r="396" spans="1:7" x14ac:dyDescent="0.35">
      <c r="A396" s="1" t="s">
        <v>299</v>
      </c>
      <c r="B396" s="1" t="s">
        <v>13</v>
      </c>
      <c r="C396">
        <v>21.23</v>
      </c>
      <c r="D396">
        <v>5</v>
      </c>
      <c r="E396" s="1" t="s">
        <v>61</v>
      </c>
      <c r="F396">
        <v>0</v>
      </c>
      <c r="G396" s="1" t="s">
        <v>40</v>
      </c>
    </row>
    <row r="397" spans="1:7" x14ac:dyDescent="0.35">
      <c r="A397" s="1" t="s">
        <v>297</v>
      </c>
      <c r="B397" s="1" t="s">
        <v>16</v>
      </c>
      <c r="C397">
        <v>57.18</v>
      </c>
      <c r="D397">
        <v>5</v>
      </c>
      <c r="E397" s="1" t="s">
        <v>51</v>
      </c>
      <c r="F397">
        <v>9</v>
      </c>
      <c r="G397" s="1" t="s">
        <v>40</v>
      </c>
    </row>
    <row r="398" spans="1:7" x14ac:dyDescent="0.35">
      <c r="A398" s="1" t="s">
        <v>324</v>
      </c>
      <c r="B398" s="1" t="s">
        <v>12</v>
      </c>
      <c r="C398">
        <v>13.21</v>
      </c>
      <c r="D398">
        <v>1</v>
      </c>
      <c r="E398" s="1" t="s">
        <v>51</v>
      </c>
      <c r="F398">
        <v>19</v>
      </c>
      <c r="G398" s="1" t="s">
        <v>42</v>
      </c>
    </row>
    <row r="399" spans="1:7" x14ac:dyDescent="0.35">
      <c r="A399" s="1" t="s">
        <v>316</v>
      </c>
      <c r="B399" s="1" t="s">
        <v>16</v>
      </c>
      <c r="C399">
        <v>8.84</v>
      </c>
      <c r="D399">
        <v>5</v>
      </c>
      <c r="E399" s="1" t="s">
        <v>51</v>
      </c>
      <c r="F399">
        <v>8</v>
      </c>
      <c r="G399" s="1" t="s">
        <v>40</v>
      </c>
    </row>
    <row r="400" spans="1:7" x14ac:dyDescent="0.35">
      <c r="A400" s="1" t="s">
        <v>301</v>
      </c>
      <c r="B400" s="1" t="s">
        <v>21</v>
      </c>
      <c r="C400">
        <v>13.94</v>
      </c>
      <c r="D400">
        <v>5</v>
      </c>
      <c r="E400" s="1" t="s">
        <v>51</v>
      </c>
      <c r="F400">
        <v>1</v>
      </c>
      <c r="G400" s="1" t="s">
        <v>40</v>
      </c>
    </row>
    <row r="401" spans="1:7" x14ac:dyDescent="0.35">
      <c r="A401" s="1" t="s">
        <v>319</v>
      </c>
      <c r="B401" s="1" t="s">
        <v>30</v>
      </c>
      <c r="C401">
        <v>24.33</v>
      </c>
      <c r="D401">
        <v>4</v>
      </c>
      <c r="E401" s="1" t="s">
        <v>51</v>
      </c>
      <c r="F401">
        <v>14</v>
      </c>
      <c r="G401" s="1" t="s">
        <v>43</v>
      </c>
    </row>
    <row r="402" spans="1:7" x14ac:dyDescent="0.35">
      <c r="A402" s="1" t="s">
        <v>325</v>
      </c>
      <c r="B402" s="1" t="s">
        <v>27</v>
      </c>
      <c r="C402">
        <v>26.15</v>
      </c>
      <c r="D402">
        <v>4</v>
      </c>
      <c r="E402" s="1" t="s">
        <v>51</v>
      </c>
      <c r="F402">
        <v>13</v>
      </c>
      <c r="G402" s="1" t="s">
        <v>43</v>
      </c>
    </row>
    <row r="403" spans="1:7" x14ac:dyDescent="0.35">
      <c r="A403" s="1" t="s">
        <v>326</v>
      </c>
      <c r="B403" s="1" t="s">
        <v>3</v>
      </c>
      <c r="C403">
        <v>57.49</v>
      </c>
      <c r="D403">
        <v>2</v>
      </c>
      <c r="E403" s="1" t="s">
        <v>51</v>
      </c>
      <c r="F403">
        <v>11</v>
      </c>
      <c r="G403" s="1" t="s">
        <v>42</v>
      </c>
    </row>
    <row r="404" spans="1:7" x14ac:dyDescent="0.35">
      <c r="A404" s="1" t="s">
        <v>327</v>
      </c>
      <c r="B404" s="1" t="s">
        <v>29</v>
      </c>
      <c r="C404">
        <v>50.34</v>
      </c>
      <c r="D404">
        <v>2</v>
      </c>
      <c r="E404" s="1" t="s">
        <v>68</v>
      </c>
      <c r="F404">
        <v>1</v>
      </c>
      <c r="G404" s="1" t="s">
        <v>41</v>
      </c>
    </row>
    <row r="405" spans="1:7" x14ac:dyDescent="0.35">
      <c r="A405" s="1" t="s">
        <v>328</v>
      </c>
      <c r="B405" s="1" t="s">
        <v>21</v>
      </c>
      <c r="C405">
        <v>55.47</v>
      </c>
      <c r="D405">
        <v>5</v>
      </c>
      <c r="E405" s="1" t="s">
        <v>68</v>
      </c>
      <c r="F405">
        <v>20</v>
      </c>
      <c r="G405" s="1" t="s">
        <v>43</v>
      </c>
    </row>
    <row r="406" spans="1:7" x14ac:dyDescent="0.35">
      <c r="A406" s="1" t="s">
        <v>329</v>
      </c>
      <c r="B406" s="1" t="s">
        <v>2</v>
      </c>
      <c r="C406">
        <v>1.1299999999999999</v>
      </c>
      <c r="D406">
        <v>5</v>
      </c>
      <c r="E406" s="1" t="s">
        <v>51</v>
      </c>
      <c r="F406">
        <v>21</v>
      </c>
      <c r="G406" s="1" t="s">
        <v>43</v>
      </c>
    </row>
    <row r="407" spans="1:7" x14ac:dyDescent="0.35">
      <c r="A407" s="1" t="s">
        <v>330</v>
      </c>
      <c r="B407" s="1" t="s">
        <v>1</v>
      </c>
      <c r="C407">
        <v>36.5</v>
      </c>
      <c r="D407">
        <v>4</v>
      </c>
      <c r="E407" s="1" t="s">
        <v>51</v>
      </c>
      <c r="F407">
        <v>21</v>
      </c>
      <c r="G407" s="1" t="s">
        <v>43</v>
      </c>
    </row>
    <row r="408" spans="1:7" x14ac:dyDescent="0.35">
      <c r="A408" s="1" t="s">
        <v>331</v>
      </c>
      <c r="B408" s="1" t="s">
        <v>6</v>
      </c>
      <c r="C408">
        <v>2.0099999999999998</v>
      </c>
      <c r="D408">
        <v>4</v>
      </c>
      <c r="E408" s="1" t="s">
        <v>61</v>
      </c>
      <c r="F408">
        <v>0</v>
      </c>
      <c r="G408" s="1" t="s">
        <v>40</v>
      </c>
    </row>
    <row r="409" spans="1:7" x14ac:dyDescent="0.35">
      <c r="A409" s="1" t="s">
        <v>332</v>
      </c>
      <c r="B409" s="1" t="s">
        <v>26</v>
      </c>
      <c r="C409">
        <v>9.44</v>
      </c>
      <c r="D409">
        <v>5</v>
      </c>
      <c r="E409" s="1" t="s">
        <v>51</v>
      </c>
      <c r="F409">
        <v>14</v>
      </c>
      <c r="G409" s="1" t="s">
        <v>43</v>
      </c>
    </row>
    <row r="410" spans="1:7" x14ac:dyDescent="0.35">
      <c r="A410" s="1" t="s">
        <v>333</v>
      </c>
      <c r="B410" s="1" t="s">
        <v>26</v>
      </c>
      <c r="C410">
        <v>56.97</v>
      </c>
      <c r="D410">
        <v>4</v>
      </c>
      <c r="E410" s="1" t="s">
        <v>51</v>
      </c>
      <c r="F410">
        <v>15</v>
      </c>
      <c r="G410" s="1" t="s">
        <v>43</v>
      </c>
    </row>
    <row r="411" spans="1:7" x14ac:dyDescent="0.35">
      <c r="A411" s="1" t="s">
        <v>334</v>
      </c>
      <c r="B411" s="1" t="s">
        <v>26</v>
      </c>
      <c r="C411">
        <v>14.41</v>
      </c>
      <c r="D411">
        <v>5</v>
      </c>
      <c r="E411" s="1" t="s">
        <v>51</v>
      </c>
      <c r="F411">
        <v>3</v>
      </c>
      <c r="G411" s="1" t="s">
        <v>40</v>
      </c>
    </row>
    <row r="412" spans="1:7" x14ac:dyDescent="0.35">
      <c r="A412" s="1" t="s">
        <v>335</v>
      </c>
      <c r="B412" s="1" t="s">
        <v>2</v>
      </c>
      <c r="C412">
        <v>22.91</v>
      </c>
      <c r="D412">
        <v>4</v>
      </c>
      <c r="E412" s="1" t="s">
        <v>51</v>
      </c>
      <c r="F412">
        <v>4</v>
      </c>
      <c r="G412" s="1" t="s">
        <v>40</v>
      </c>
    </row>
    <row r="413" spans="1:7" x14ac:dyDescent="0.35">
      <c r="A413" s="1" t="s">
        <v>336</v>
      </c>
      <c r="B413" s="1" t="s">
        <v>14</v>
      </c>
      <c r="C413">
        <v>59.19</v>
      </c>
      <c r="D413">
        <v>4</v>
      </c>
      <c r="E413" s="1" t="s">
        <v>51</v>
      </c>
      <c r="F413">
        <v>3</v>
      </c>
      <c r="G413" s="1" t="s">
        <v>40</v>
      </c>
    </row>
    <row r="414" spans="1:7" x14ac:dyDescent="0.35">
      <c r="A414" s="1" t="s">
        <v>337</v>
      </c>
      <c r="B414" s="1" t="s">
        <v>14</v>
      </c>
      <c r="C414">
        <v>47.96</v>
      </c>
      <c r="D414">
        <v>4</v>
      </c>
      <c r="E414" s="1" t="s">
        <v>68</v>
      </c>
      <c r="F414">
        <v>2</v>
      </c>
      <c r="G414" s="1" t="s">
        <v>40</v>
      </c>
    </row>
    <row r="415" spans="1:7" x14ac:dyDescent="0.35">
      <c r="A415" s="1" t="s">
        <v>338</v>
      </c>
      <c r="B415" s="1" t="s">
        <v>17</v>
      </c>
      <c r="C415">
        <v>27.4</v>
      </c>
      <c r="D415">
        <v>2</v>
      </c>
      <c r="E415" s="1" t="s">
        <v>51</v>
      </c>
      <c r="F415">
        <v>20</v>
      </c>
      <c r="G415" s="1" t="s">
        <v>42</v>
      </c>
    </row>
    <row r="416" spans="1:7" x14ac:dyDescent="0.35">
      <c r="A416" s="1" t="s">
        <v>339</v>
      </c>
      <c r="B416" s="1" t="s">
        <v>2</v>
      </c>
      <c r="C416">
        <v>53.8</v>
      </c>
      <c r="D416">
        <v>4</v>
      </c>
      <c r="E416" s="1" t="s">
        <v>51</v>
      </c>
      <c r="F416">
        <v>6</v>
      </c>
      <c r="G416" s="1" t="s">
        <v>40</v>
      </c>
    </row>
    <row r="417" spans="1:7" x14ac:dyDescent="0.35">
      <c r="A417" s="1" t="s">
        <v>340</v>
      </c>
      <c r="B417" s="1" t="s">
        <v>6</v>
      </c>
      <c r="C417">
        <v>17.91</v>
      </c>
      <c r="D417">
        <v>4</v>
      </c>
      <c r="E417" s="1" t="s">
        <v>51</v>
      </c>
      <c r="F417">
        <v>22</v>
      </c>
      <c r="G417" s="1" t="s">
        <v>43</v>
      </c>
    </row>
    <row r="418" spans="1:7" x14ac:dyDescent="0.35">
      <c r="A418" s="1" t="s">
        <v>336</v>
      </c>
      <c r="B418" s="1" t="s">
        <v>6</v>
      </c>
      <c r="C418">
        <v>7.21</v>
      </c>
      <c r="D418">
        <v>4</v>
      </c>
      <c r="E418" s="1" t="s">
        <v>51</v>
      </c>
      <c r="F418">
        <v>3</v>
      </c>
      <c r="G418" s="1" t="s">
        <v>40</v>
      </c>
    </row>
    <row r="419" spans="1:7" x14ac:dyDescent="0.35">
      <c r="A419" s="1" t="s">
        <v>341</v>
      </c>
      <c r="B419" s="1" t="s">
        <v>13</v>
      </c>
      <c r="C419">
        <v>29.69</v>
      </c>
      <c r="D419">
        <v>5</v>
      </c>
      <c r="E419" s="1" t="s">
        <v>51</v>
      </c>
      <c r="F419">
        <v>9</v>
      </c>
      <c r="G419" s="1" t="s">
        <v>40</v>
      </c>
    </row>
    <row r="420" spans="1:7" x14ac:dyDescent="0.35">
      <c r="A420" s="1" t="s">
        <v>329</v>
      </c>
      <c r="B420" s="1" t="s">
        <v>1</v>
      </c>
      <c r="C420">
        <v>16.920000000000002</v>
      </c>
      <c r="D420">
        <v>4</v>
      </c>
      <c r="E420" s="1" t="s">
        <v>51</v>
      </c>
      <c r="F420">
        <v>3</v>
      </c>
      <c r="G420" s="1" t="s">
        <v>40</v>
      </c>
    </row>
    <row r="421" spans="1:7" x14ac:dyDescent="0.35">
      <c r="A421" s="1" t="s">
        <v>336</v>
      </c>
      <c r="B421" s="1" t="s">
        <v>20</v>
      </c>
      <c r="C421">
        <v>41.63</v>
      </c>
      <c r="D421">
        <v>3</v>
      </c>
      <c r="E421" s="1" t="s">
        <v>51</v>
      </c>
      <c r="F421">
        <v>12</v>
      </c>
      <c r="G421" s="1" t="s">
        <v>42</v>
      </c>
    </row>
    <row r="422" spans="1:7" x14ac:dyDescent="0.35">
      <c r="A422" s="1" t="s">
        <v>331</v>
      </c>
      <c r="B422" s="1" t="s">
        <v>16</v>
      </c>
      <c r="C422">
        <v>9.6999999999999993</v>
      </c>
      <c r="D422">
        <v>5</v>
      </c>
      <c r="E422" s="1" t="s">
        <v>51</v>
      </c>
      <c r="F422">
        <v>22</v>
      </c>
      <c r="G422" s="1" t="s">
        <v>43</v>
      </c>
    </row>
    <row r="423" spans="1:7" x14ac:dyDescent="0.35">
      <c r="A423" s="1" t="s">
        <v>342</v>
      </c>
      <c r="B423" s="1" t="s">
        <v>28</v>
      </c>
      <c r="C423">
        <v>58.32</v>
      </c>
      <c r="D423">
        <v>4</v>
      </c>
      <c r="E423" s="1" t="s">
        <v>51</v>
      </c>
      <c r="F423">
        <v>12</v>
      </c>
      <c r="G423" s="1" t="s">
        <v>43</v>
      </c>
    </row>
    <row r="424" spans="1:7" x14ac:dyDescent="0.35">
      <c r="A424" s="1" t="s">
        <v>325</v>
      </c>
      <c r="B424" s="1" t="s">
        <v>13</v>
      </c>
      <c r="C424">
        <v>10.6</v>
      </c>
      <c r="D424">
        <v>4</v>
      </c>
      <c r="E424" s="1" t="s">
        <v>51</v>
      </c>
      <c r="F424">
        <v>22</v>
      </c>
      <c r="G424" s="1" t="s">
        <v>43</v>
      </c>
    </row>
    <row r="425" spans="1:7" x14ac:dyDescent="0.35">
      <c r="A425" s="1" t="s">
        <v>343</v>
      </c>
      <c r="B425" s="1" t="s">
        <v>9</v>
      </c>
      <c r="C425">
        <v>30.69</v>
      </c>
      <c r="D425">
        <v>5</v>
      </c>
      <c r="E425" s="1" t="s">
        <v>51</v>
      </c>
      <c r="F425">
        <v>14</v>
      </c>
      <c r="G425" s="1" t="s">
        <v>43</v>
      </c>
    </row>
    <row r="426" spans="1:7" x14ac:dyDescent="0.35">
      <c r="A426" s="1" t="s">
        <v>337</v>
      </c>
      <c r="B426" s="1" t="s">
        <v>12</v>
      </c>
      <c r="C426">
        <v>52.89</v>
      </c>
      <c r="D426">
        <v>3</v>
      </c>
      <c r="E426" s="1" t="s">
        <v>68</v>
      </c>
      <c r="F426">
        <v>14</v>
      </c>
      <c r="G426" s="1" t="s">
        <v>42</v>
      </c>
    </row>
    <row r="427" spans="1:7" x14ac:dyDescent="0.35">
      <c r="A427" s="1" t="s">
        <v>344</v>
      </c>
      <c r="B427" s="1" t="s">
        <v>22</v>
      </c>
      <c r="C427">
        <v>49.88</v>
      </c>
      <c r="D427">
        <v>5</v>
      </c>
      <c r="E427" s="1" t="s">
        <v>51</v>
      </c>
      <c r="F427">
        <v>5</v>
      </c>
      <c r="G427" s="1" t="s">
        <v>40</v>
      </c>
    </row>
    <row r="428" spans="1:7" x14ac:dyDescent="0.35">
      <c r="A428" s="1" t="s">
        <v>327</v>
      </c>
      <c r="B428" s="1" t="s">
        <v>17</v>
      </c>
      <c r="C428">
        <v>13.02</v>
      </c>
      <c r="D428">
        <v>2</v>
      </c>
      <c r="E428" s="1" t="s">
        <v>51</v>
      </c>
      <c r="F428">
        <v>21</v>
      </c>
      <c r="G428" s="1" t="s">
        <v>42</v>
      </c>
    </row>
    <row r="429" spans="1:7" x14ac:dyDescent="0.35">
      <c r="A429" s="1" t="s">
        <v>329</v>
      </c>
      <c r="B429" s="1" t="s">
        <v>11</v>
      </c>
      <c r="C429">
        <v>47.01</v>
      </c>
      <c r="D429">
        <v>5</v>
      </c>
      <c r="E429" s="1" t="s">
        <v>51</v>
      </c>
      <c r="F429">
        <v>22</v>
      </c>
      <c r="G429" s="1" t="s">
        <v>43</v>
      </c>
    </row>
    <row r="430" spans="1:7" x14ac:dyDescent="0.35">
      <c r="A430" s="1" t="s">
        <v>345</v>
      </c>
      <c r="B430" s="1" t="s">
        <v>15</v>
      </c>
      <c r="C430">
        <v>29.97</v>
      </c>
      <c r="D430">
        <v>1</v>
      </c>
      <c r="E430" s="1" t="s">
        <v>51</v>
      </c>
      <c r="F430">
        <v>21</v>
      </c>
      <c r="G430" s="1" t="s">
        <v>42</v>
      </c>
    </row>
    <row r="431" spans="1:7" x14ac:dyDescent="0.35">
      <c r="A431" s="1" t="s">
        <v>346</v>
      </c>
      <c r="B431" s="1" t="s">
        <v>20</v>
      </c>
      <c r="C431">
        <v>1.3</v>
      </c>
      <c r="D431">
        <v>4</v>
      </c>
      <c r="E431" s="1" t="s">
        <v>51</v>
      </c>
      <c r="F431">
        <v>4</v>
      </c>
      <c r="G431" s="1" t="s">
        <v>40</v>
      </c>
    </row>
    <row r="432" spans="1:7" x14ac:dyDescent="0.35">
      <c r="A432" s="1" t="s">
        <v>337</v>
      </c>
      <c r="B432" s="1" t="s">
        <v>20</v>
      </c>
      <c r="C432">
        <v>39.46</v>
      </c>
      <c r="D432">
        <v>4</v>
      </c>
      <c r="E432" s="1" t="s">
        <v>51</v>
      </c>
      <c r="F432">
        <v>14</v>
      </c>
      <c r="G432" s="1" t="s">
        <v>43</v>
      </c>
    </row>
    <row r="433" spans="1:7" x14ac:dyDescent="0.35">
      <c r="A433" s="1" t="s">
        <v>337</v>
      </c>
      <c r="B433" s="1" t="s">
        <v>11</v>
      </c>
      <c r="C433">
        <v>17.03</v>
      </c>
      <c r="D433">
        <v>3</v>
      </c>
      <c r="E433" s="1" t="s">
        <v>51</v>
      </c>
      <c r="F433">
        <v>13</v>
      </c>
      <c r="G433" s="1" t="s">
        <v>42</v>
      </c>
    </row>
    <row r="434" spans="1:7" x14ac:dyDescent="0.35">
      <c r="A434" s="1" t="s">
        <v>347</v>
      </c>
      <c r="B434" s="1" t="s">
        <v>17</v>
      </c>
      <c r="C434">
        <v>26.33</v>
      </c>
      <c r="D434">
        <v>3</v>
      </c>
      <c r="E434" s="1" t="s">
        <v>51</v>
      </c>
      <c r="F434">
        <v>7</v>
      </c>
      <c r="G434" s="1" t="s">
        <v>41</v>
      </c>
    </row>
    <row r="435" spans="1:7" x14ac:dyDescent="0.35">
      <c r="A435" s="1" t="s">
        <v>348</v>
      </c>
      <c r="B435" s="1" t="s">
        <v>13</v>
      </c>
      <c r="C435">
        <v>56.82</v>
      </c>
      <c r="D435">
        <v>5</v>
      </c>
      <c r="E435" s="1" t="s">
        <v>51</v>
      </c>
      <c r="F435">
        <v>19</v>
      </c>
      <c r="G435" s="1" t="s">
        <v>43</v>
      </c>
    </row>
    <row r="436" spans="1:7" x14ac:dyDescent="0.35">
      <c r="A436" s="1" t="s">
        <v>348</v>
      </c>
      <c r="B436" s="1" t="s">
        <v>18</v>
      </c>
      <c r="C436">
        <v>47.21</v>
      </c>
      <c r="D436">
        <v>4</v>
      </c>
      <c r="E436" s="1" t="s">
        <v>51</v>
      </c>
      <c r="F436">
        <v>15</v>
      </c>
      <c r="G436" s="1" t="s">
        <v>43</v>
      </c>
    </row>
    <row r="437" spans="1:7" x14ac:dyDescent="0.35">
      <c r="A437" s="1" t="s">
        <v>349</v>
      </c>
      <c r="B437" s="1" t="s">
        <v>13</v>
      </c>
      <c r="C437">
        <v>3.78</v>
      </c>
      <c r="D437">
        <v>3</v>
      </c>
      <c r="E437" s="1" t="s">
        <v>61</v>
      </c>
      <c r="F437">
        <v>0</v>
      </c>
      <c r="G437" s="1" t="s">
        <v>41</v>
      </c>
    </row>
    <row r="438" spans="1:7" x14ac:dyDescent="0.35">
      <c r="A438" s="1" t="s">
        <v>345</v>
      </c>
      <c r="B438" s="1" t="s">
        <v>19</v>
      </c>
      <c r="C438">
        <v>54.26</v>
      </c>
      <c r="D438">
        <v>5</v>
      </c>
      <c r="E438" s="1" t="s">
        <v>61</v>
      </c>
      <c r="F438">
        <v>0</v>
      </c>
      <c r="G438" s="1" t="s">
        <v>40</v>
      </c>
    </row>
    <row r="439" spans="1:7" x14ac:dyDescent="0.35">
      <c r="A439" s="1" t="s">
        <v>327</v>
      </c>
      <c r="B439" s="1" t="s">
        <v>29</v>
      </c>
      <c r="C439">
        <v>51.15</v>
      </c>
      <c r="D439">
        <v>5</v>
      </c>
      <c r="E439" s="1" t="s">
        <v>51</v>
      </c>
      <c r="F439">
        <v>22</v>
      </c>
      <c r="G439" s="1" t="s">
        <v>43</v>
      </c>
    </row>
    <row r="440" spans="1:7" x14ac:dyDescent="0.35">
      <c r="A440" s="1" t="s">
        <v>350</v>
      </c>
      <c r="B440" s="1" t="s">
        <v>27</v>
      </c>
      <c r="C440">
        <v>5.43</v>
      </c>
      <c r="D440">
        <v>4</v>
      </c>
      <c r="E440" s="1" t="s">
        <v>51</v>
      </c>
      <c r="F440">
        <v>22</v>
      </c>
      <c r="G440" s="1" t="s">
        <v>43</v>
      </c>
    </row>
    <row r="441" spans="1:7" x14ac:dyDescent="0.35">
      <c r="A441" s="1" t="s">
        <v>351</v>
      </c>
      <c r="B441" s="1" t="s">
        <v>9</v>
      </c>
      <c r="C441">
        <v>52.19</v>
      </c>
      <c r="D441">
        <v>4</v>
      </c>
      <c r="E441" s="1" t="s">
        <v>51</v>
      </c>
      <c r="F441">
        <v>7</v>
      </c>
      <c r="G441" s="1" t="s">
        <v>40</v>
      </c>
    </row>
    <row r="442" spans="1:7" x14ac:dyDescent="0.35">
      <c r="A442" s="1" t="s">
        <v>352</v>
      </c>
      <c r="B442" s="1" t="s">
        <v>20</v>
      </c>
      <c r="C442">
        <v>5.96</v>
      </c>
      <c r="D442">
        <v>4</v>
      </c>
      <c r="E442" s="1" t="s">
        <v>51</v>
      </c>
      <c r="F442">
        <v>17</v>
      </c>
      <c r="G442" s="1" t="s">
        <v>43</v>
      </c>
    </row>
    <row r="443" spans="1:7" x14ac:dyDescent="0.35">
      <c r="A443" s="1" t="s">
        <v>353</v>
      </c>
      <c r="B443" s="1" t="s">
        <v>15</v>
      </c>
      <c r="C443">
        <v>13.95</v>
      </c>
      <c r="D443">
        <v>2</v>
      </c>
      <c r="E443" s="1" t="s">
        <v>51</v>
      </c>
      <c r="F443">
        <v>9</v>
      </c>
      <c r="G443" s="1" t="s">
        <v>41</v>
      </c>
    </row>
    <row r="444" spans="1:7" x14ac:dyDescent="0.35">
      <c r="A444" s="1" t="s">
        <v>351</v>
      </c>
      <c r="B444" s="1" t="s">
        <v>3</v>
      </c>
      <c r="C444">
        <v>6.56</v>
      </c>
      <c r="D444">
        <v>4</v>
      </c>
      <c r="E444" s="1" t="s">
        <v>51</v>
      </c>
      <c r="F444">
        <v>16</v>
      </c>
      <c r="G444" s="1" t="s">
        <v>43</v>
      </c>
    </row>
    <row r="445" spans="1:7" x14ac:dyDescent="0.35">
      <c r="A445" s="1" t="s">
        <v>343</v>
      </c>
      <c r="B445" s="1" t="s">
        <v>3</v>
      </c>
      <c r="C445">
        <v>36.04</v>
      </c>
      <c r="D445">
        <v>5</v>
      </c>
      <c r="E445" s="1" t="s">
        <v>51</v>
      </c>
      <c r="F445">
        <v>16</v>
      </c>
      <c r="G445" s="1" t="s">
        <v>43</v>
      </c>
    </row>
    <row r="446" spans="1:7" x14ac:dyDescent="0.35">
      <c r="A446" s="1" t="s">
        <v>329</v>
      </c>
      <c r="B446" s="1" t="s">
        <v>4</v>
      </c>
      <c r="C446">
        <v>29.7</v>
      </c>
      <c r="D446">
        <v>4</v>
      </c>
      <c r="E446" s="1" t="s">
        <v>51</v>
      </c>
      <c r="F446">
        <v>12</v>
      </c>
      <c r="G446" s="1" t="s">
        <v>43</v>
      </c>
    </row>
    <row r="447" spans="1:7" x14ac:dyDescent="0.35">
      <c r="A447" s="1" t="s">
        <v>354</v>
      </c>
      <c r="B447" s="1" t="s">
        <v>14</v>
      </c>
      <c r="C447">
        <v>44.71</v>
      </c>
      <c r="D447">
        <v>5</v>
      </c>
      <c r="E447" s="1" t="s">
        <v>51</v>
      </c>
      <c r="F447">
        <v>3</v>
      </c>
      <c r="G447" s="1" t="s">
        <v>40</v>
      </c>
    </row>
    <row r="448" spans="1:7" x14ac:dyDescent="0.35">
      <c r="A448" s="1" t="s">
        <v>355</v>
      </c>
      <c r="B448" s="1" t="s">
        <v>7</v>
      </c>
      <c r="C448">
        <v>12.24</v>
      </c>
      <c r="D448">
        <v>4</v>
      </c>
      <c r="E448" s="1" t="s">
        <v>51</v>
      </c>
      <c r="F448">
        <v>20</v>
      </c>
      <c r="G448" s="1" t="s">
        <v>43</v>
      </c>
    </row>
    <row r="449" spans="1:7" x14ac:dyDescent="0.35">
      <c r="A449" s="1" t="s">
        <v>350</v>
      </c>
      <c r="B449" s="1" t="s">
        <v>7</v>
      </c>
      <c r="C449">
        <v>1.92</v>
      </c>
      <c r="D449">
        <v>1</v>
      </c>
      <c r="E449" s="1" t="s">
        <v>51</v>
      </c>
      <c r="F449">
        <v>19</v>
      </c>
      <c r="G449" s="1" t="s">
        <v>42</v>
      </c>
    </row>
    <row r="450" spans="1:7" x14ac:dyDescent="0.35">
      <c r="A450" s="1" t="s">
        <v>344</v>
      </c>
      <c r="B450" s="1" t="s">
        <v>1</v>
      </c>
      <c r="C450">
        <v>35.520000000000003</v>
      </c>
      <c r="D450">
        <v>2</v>
      </c>
      <c r="E450" s="1" t="s">
        <v>51</v>
      </c>
      <c r="F450">
        <v>16</v>
      </c>
      <c r="G450" s="1" t="s">
        <v>42</v>
      </c>
    </row>
    <row r="451" spans="1:7" x14ac:dyDescent="0.35">
      <c r="A451" s="1" t="s">
        <v>356</v>
      </c>
      <c r="B451" s="1" t="s">
        <v>1</v>
      </c>
      <c r="C451">
        <v>33.700000000000003</v>
      </c>
      <c r="D451">
        <v>3</v>
      </c>
      <c r="E451" s="1" t="s">
        <v>51</v>
      </c>
      <c r="F451">
        <v>19</v>
      </c>
      <c r="G451" s="1" t="s">
        <v>42</v>
      </c>
    </row>
    <row r="452" spans="1:7" x14ac:dyDescent="0.35">
      <c r="A452" s="1" t="s">
        <v>357</v>
      </c>
      <c r="B452" s="1" t="s">
        <v>3</v>
      </c>
      <c r="C452">
        <v>57.48</v>
      </c>
      <c r="D452">
        <v>4</v>
      </c>
      <c r="E452" s="1" t="s">
        <v>51</v>
      </c>
      <c r="F452">
        <v>20</v>
      </c>
      <c r="G452" s="1" t="s">
        <v>43</v>
      </c>
    </row>
    <row r="453" spans="1:7" x14ac:dyDescent="0.35">
      <c r="A453" s="1" t="s">
        <v>358</v>
      </c>
      <c r="B453" s="1" t="s">
        <v>12</v>
      </c>
      <c r="C453">
        <v>49.96</v>
      </c>
      <c r="D453">
        <v>4</v>
      </c>
      <c r="E453" s="1" t="s">
        <v>51</v>
      </c>
      <c r="F453">
        <v>4</v>
      </c>
      <c r="G453" s="1" t="s">
        <v>40</v>
      </c>
    </row>
    <row r="454" spans="1:7" x14ac:dyDescent="0.35">
      <c r="A454" s="1" t="s">
        <v>359</v>
      </c>
      <c r="B454" s="1" t="s">
        <v>18</v>
      </c>
      <c r="C454">
        <v>19.34</v>
      </c>
      <c r="D454">
        <v>5</v>
      </c>
      <c r="E454" s="1" t="s">
        <v>51</v>
      </c>
      <c r="F454">
        <v>16</v>
      </c>
      <c r="G454" s="1" t="s">
        <v>43</v>
      </c>
    </row>
    <row r="455" spans="1:7" x14ac:dyDescent="0.35">
      <c r="A455" s="1" t="s">
        <v>360</v>
      </c>
      <c r="B455" s="1" t="s">
        <v>6</v>
      </c>
      <c r="C455">
        <v>33.25</v>
      </c>
      <c r="D455">
        <v>5</v>
      </c>
      <c r="E455" s="1" t="s">
        <v>51</v>
      </c>
      <c r="F455">
        <v>22</v>
      </c>
      <c r="G455" s="1" t="s">
        <v>43</v>
      </c>
    </row>
    <row r="456" spans="1:7" x14ac:dyDescent="0.35">
      <c r="A456" s="1" t="s">
        <v>360</v>
      </c>
      <c r="B456" s="1" t="s">
        <v>26</v>
      </c>
      <c r="C456">
        <v>48.18</v>
      </c>
      <c r="D456">
        <v>4</v>
      </c>
      <c r="E456" s="1" t="s">
        <v>51</v>
      </c>
      <c r="F456">
        <v>5</v>
      </c>
      <c r="G456" s="1" t="s">
        <v>40</v>
      </c>
    </row>
    <row r="457" spans="1:7" x14ac:dyDescent="0.35">
      <c r="A457" s="1" t="s">
        <v>361</v>
      </c>
      <c r="B457" s="1" t="s">
        <v>6</v>
      </c>
      <c r="C457">
        <v>51.79</v>
      </c>
      <c r="D457">
        <v>3</v>
      </c>
      <c r="E457" s="1" t="s">
        <v>68</v>
      </c>
      <c r="F457">
        <v>17</v>
      </c>
      <c r="G457" s="1" t="s">
        <v>42</v>
      </c>
    </row>
    <row r="458" spans="1:7" x14ac:dyDescent="0.35">
      <c r="A458" s="1" t="s">
        <v>362</v>
      </c>
      <c r="B458" s="1" t="s">
        <v>4</v>
      </c>
      <c r="C458">
        <v>11.64</v>
      </c>
      <c r="D458">
        <v>5</v>
      </c>
      <c r="E458" s="1" t="s">
        <v>51</v>
      </c>
      <c r="F458">
        <v>22</v>
      </c>
      <c r="G458" s="1" t="s">
        <v>43</v>
      </c>
    </row>
    <row r="459" spans="1:7" x14ac:dyDescent="0.35">
      <c r="A459" s="1" t="s">
        <v>363</v>
      </c>
      <c r="B459" s="1" t="s">
        <v>2</v>
      </c>
      <c r="C459">
        <v>55.11</v>
      </c>
      <c r="D459">
        <v>5</v>
      </c>
      <c r="E459" s="1" t="s">
        <v>51</v>
      </c>
      <c r="F459">
        <v>6</v>
      </c>
      <c r="G459" s="1" t="s">
        <v>40</v>
      </c>
    </row>
    <row r="460" spans="1:7" x14ac:dyDescent="0.35">
      <c r="A460" s="1" t="s">
        <v>364</v>
      </c>
      <c r="B460" s="1" t="s">
        <v>18</v>
      </c>
      <c r="C460">
        <v>34.85</v>
      </c>
      <c r="D460">
        <v>3</v>
      </c>
      <c r="E460" s="1" t="s">
        <v>51</v>
      </c>
      <c r="F460">
        <v>15</v>
      </c>
      <c r="G460" s="1" t="s">
        <v>42</v>
      </c>
    </row>
    <row r="461" spans="1:7" x14ac:dyDescent="0.35">
      <c r="A461" s="1" t="s">
        <v>365</v>
      </c>
      <c r="B461" s="1" t="s">
        <v>17</v>
      </c>
      <c r="C461">
        <v>11.93</v>
      </c>
      <c r="D461">
        <v>5</v>
      </c>
      <c r="E461" s="1" t="s">
        <v>68</v>
      </c>
      <c r="F461">
        <v>21</v>
      </c>
      <c r="G461" s="1" t="s">
        <v>43</v>
      </c>
    </row>
    <row r="462" spans="1:7" x14ac:dyDescent="0.35">
      <c r="A462" s="1" t="s">
        <v>366</v>
      </c>
      <c r="B462" s="1" t="s">
        <v>25</v>
      </c>
      <c r="C462">
        <v>14.6</v>
      </c>
      <c r="D462">
        <v>4</v>
      </c>
      <c r="E462" s="1" t="s">
        <v>51</v>
      </c>
      <c r="F462">
        <v>8</v>
      </c>
      <c r="G462" s="1" t="s">
        <v>40</v>
      </c>
    </row>
    <row r="463" spans="1:7" x14ac:dyDescent="0.35">
      <c r="A463" s="1" t="s">
        <v>367</v>
      </c>
      <c r="B463" s="1" t="s">
        <v>14</v>
      </c>
      <c r="C463">
        <v>28.78</v>
      </c>
      <c r="D463">
        <v>5</v>
      </c>
      <c r="E463" s="1" t="s">
        <v>51</v>
      </c>
      <c r="F463">
        <v>1</v>
      </c>
      <c r="G463" s="1" t="s">
        <v>40</v>
      </c>
    </row>
    <row r="464" spans="1:7" x14ac:dyDescent="0.35">
      <c r="A464" s="1" t="s">
        <v>368</v>
      </c>
      <c r="B464" s="1" t="s">
        <v>2</v>
      </c>
      <c r="C464">
        <v>3.09</v>
      </c>
      <c r="D464">
        <v>5</v>
      </c>
      <c r="E464" s="1" t="s">
        <v>61</v>
      </c>
      <c r="F464">
        <v>0</v>
      </c>
      <c r="G464" s="1" t="s">
        <v>40</v>
      </c>
    </row>
    <row r="465" spans="1:7" x14ac:dyDescent="0.35">
      <c r="A465" s="1" t="s">
        <v>369</v>
      </c>
      <c r="B465" s="1" t="s">
        <v>30</v>
      </c>
      <c r="C465">
        <v>47.12</v>
      </c>
      <c r="D465">
        <v>3</v>
      </c>
      <c r="E465" s="1" t="s">
        <v>51</v>
      </c>
      <c r="F465">
        <v>13</v>
      </c>
      <c r="G465" s="1" t="s">
        <v>42</v>
      </c>
    </row>
    <row r="466" spans="1:7" x14ac:dyDescent="0.35">
      <c r="A466" s="1" t="s">
        <v>370</v>
      </c>
      <c r="B466" s="1" t="s">
        <v>10</v>
      </c>
      <c r="C466">
        <v>6.43</v>
      </c>
      <c r="D466">
        <v>1</v>
      </c>
      <c r="E466" s="1" t="s">
        <v>51</v>
      </c>
      <c r="F466">
        <v>18</v>
      </c>
      <c r="G466" s="1" t="s">
        <v>42</v>
      </c>
    </row>
    <row r="467" spans="1:7" x14ac:dyDescent="0.35">
      <c r="A467" s="1" t="s">
        <v>371</v>
      </c>
      <c r="B467" s="1" t="s">
        <v>27</v>
      </c>
      <c r="C467">
        <v>5.51</v>
      </c>
      <c r="D467">
        <v>5</v>
      </c>
      <c r="E467" s="1" t="s">
        <v>51</v>
      </c>
      <c r="F467">
        <v>12</v>
      </c>
      <c r="G467" s="1" t="s">
        <v>43</v>
      </c>
    </row>
    <row r="468" spans="1:7" x14ac:dyDescent="0.35">
      <c r="A468" s="1" t="s">
        <v>369</v>
      </c>
      <c r="B468" s="1" t="s">
        <v>27</v>
      </c>
      <c r="C468">
        <v>13.01</v>
      </c>
      <c r="D468">
        <v>2</v>
      </c>
      <c r="E468" s="1" t="s">
        <v>61</v>
      </c>
      <c r="F468">
        <v>0</v>
      </c>
      <c r="G468" s="1" t="s">
        <v>41</v>
      </c>
    </row>
    <row r="469" spans="1:7" x14ac:dyDescent="0.35">
      <c r="A469" s="1" t="s">
        <v>372</v>
      </c>
      <c r="B469" s="1" t="s">
        <v>27</v>
      </c>
      <c r="C469">
        <v>4.5199999999999996</v>
      </c>
      <c r="D469">
        <v>5</v>
      </c>
      <c r="E469" s="1" t="s">
        <v>51</v>
      </c>
      <c r="F469">
        <v>1</v>
      </c>
      <c r="G469" s="1" t="s">
        <v>40</v>
      </c>
    </row>
    <row r="470" spans="1:7" x14ac:dyDescent="0.35">
      <c r="A470" s="1" t="s">
        <v>373</v>
      </c>
      <c r="B470" s="1" t="s">
        <v>14</v>
      </c>
      <c r="C470">
        <v>13.77</v>
      </c>
      <c r="D470">
        <v>1</v>
      </c>
      <c r="E470" s="1" t="s">
        <v>51</v>
      </c>
      <c r="F470">
        <v>20</v>
      </c>
      <c r="G470" s="1" t="s">
        <v>42</v>
      </c>
    </row>
    <row r="471" spans="1:7" x14ac:dyDescent="0.35">
      <c r="A471" s="1" t="s">
        <v>371</v>
      </c>
      <c r="B471" s="1" t="s">
        <v>22</v>
      </c>
      <c r="C471">
        <v>28.57</v>
      </c>
      <c r="D471">
        <v>5</v>
      </c>
      <c r="E471" s="1" t="s">
        <v>51</v>
      </c>
      <c r="F471">
        <v>1</v>
      </c>
      <c r="G471" s="1" t="s">
        <v>40</v>
      </c>
    </row>
    <row r="472" spans="1:7" x14ac:dyDescent="0.35">
      <c r="A472" s="1" t="s">
        <v>374</v>
      </c>
      <c r="B472" s="1" t="s">
        <v>19</v>
      </c>
      <c r="C472">
        <v>16.600000000000001</v>
      </c>
      <c r="D472">
        <v>3</v>
      </c>
      <c r="E472" s="1" t="s">
        <v>51</v>
      </c>
      <c r="F472">
        <v>15</v>
      </c>
      <c r="G472" s="1" t="s">
        <v>42</v>
      </c>
    </row>
    <row r="473" spans="1:7" x14ac:dyDescent="0.35">
      <c r="A473" s="1" t="s">
        <v>371</v>
      </c>
      <c r="B473" s="1" t="s">
        <v>10</v>
      </c>
      <c r="C473">
        <v>38.18</v>
      </c>
      <c r="D473">
        <v>2</v>
      </c>
      <c r="E473" s="1" t="s">
        <v>51</v>
      </c>
      <c r="F473">
        <v>2</v>
      </c>
      <c r="G473" s="1" t="s">
        <v>41</v>
      </c>
    </row>
    <row r="474" spans="1:7" x14ac:dyDescent="0.35">
      <c r="A474" s="1" t="s">
        <v>375</v>
      </c>
      <c r="B474" s="1" t="s">
        <v>10</v>
      </c>
      <c r="C474">
        <v>21.63</v>
      </c>
      <c r="D474">
        <v>2</v>
      </c>
      <c r="E474" s="1" t="s">
        <v>51</v>
      </c>
      <c r="F474">
        <v>17</v>
      </c>
      <c r="G474" s="1" t="s">
        <v>42</v>
      </c>
    </row>
    <row r="475" spans="1:7" x14ac:dyDescent="0.35">
      <c r="A475" s="1" t="s">
        <v>376</v>
      </c>
      <c r="B475" s="1" t="s">
        <v>3</v>
      </c>
      <c r="C475">
        <v>10.46</v>
      </c>
      <c r="D475">
        <v>1</v>
      </c>
      <c r="E475" s="1" t="s">
        <v>61</v>
      </c>
      <c r="F475">
        <v>0</v>
      </c>
      <c r="G475" s="1" t="s">
        <v>41</v>
      </c>
    </row>
    <row r="476" spans="1:7" x14ac:dyDescent="0.35">
      <c r="A476" s="1" t="s">
        <v>377</v>
      </c>
      <c r="B476" s="1" t="s">
        <v>27</v>
      </c>
      <c r="C476">
        <v>57.55</v>
      </c>
      <c r="D476">
        <v>5</v>
      </c>
      <c r="E476" s="1" t="s">
        <v>51</v>
      </c>
      <c r="F476">
        <v>19</v>
      </c>
      <c r="G476" s="1" t="s">
        <v>43</v>
      </c>
    </row>
    <row r="477" spans="1:7" x14ac:dyDescent="0.35">
      <c r="A477" s="1" t="s">
        <v>377</v>
      </c>
      <c r="B477" s="1" t="s">
        <v>10</v>
      </c>
      <c r="C477">
        <v>27.89</v>
      </c>
      <c r="D477">
        <v>5</v>
      </c>
      <c r="E477" s="1" t="s">
        <v>51</v>
      </c>
      <c r="F477">
        <v>8</v>
      </c>
      <c r="G477" s="1" t="s">
        <v>40</v>
      </c>
    </row>
    <row r="478" spans="1:7" x14ac:dyDescent="0.35">
      <c r="A478" s="1" t="s">
        <v>357</v>
      </c>
      <c r="B478" s="1" t="s">
        <v>4</v>
      </c>
      <c r="C478">
        <v>35.49</v>
      </c>
      <c r="D478">
        <v>2</v>
      </c>
      <c r="E478" s="1" t="s">
        <v>51</v>
      </c>
      <c r="F478">
        <v>10</v>
      </c>
      <c r="G478" s="1" t="s">
        <v>41</v>
      </c>
    </row>
    <row r="479" spans="1:7" x14ac:dyDescent="0.35">
      <c r="A479" s="1" t="s">
        <v>360</v>
      </c>
      <c r="B479" s="1" t="s">
        <v>6</v>
      </c>
      <c r="C479">
        <v>3.01</v>
      </c>
      <c r="D479">
        <v>4</v>
      </c>
      <c r="E479" s="1" t="s">
        <v>51</v>
      </c>
      <c r="F479">
        <v>3</v>
      </c>
      <c r="G479" s="1" t="s">
        <v>40</v>
      </c>
    </row>
    <row r="480" spans="1:7" x14ac:dyDescent="0.35">
      <c r="A480" s="1" t="s">
        <v>378</v>
      </c>
      <c r="B480" s="1" t="s">
        <v>21</v>
      </c>
      <c r="C480">
        <v>57.04</v>
      </c>
      <c r="D480">
        <v>5</v>
      </c>
      <c r="E480" s="1" t="s">
        <v>51</v>
      </c>
      <c r="F480">
        <v>14</v>
      </c>
      <c r="G480" s="1" t="s">
        <v>43</v>
      </c>
    </row>
    <row r="481" spans="1:7" x14ac:dyDescent="0.35">
      <c r="A481" s="1" t="s">
        <v>379</v>
      </c>
      <c r="B481" s="1" t="s">
        <v>30</v>
      </c>
      <c r="C481">
        <v>6.72</v>
      </c>
      <c r="D481">
        <v>3</v>
      </c>
      <c r="E481" s="1" t="s">
        <v>51</v>
      </c>
      <c r="F481">
        <v>19</v>
      </c>
      <c r="G481" s="1" t="s">
        <v>42</v>
      </c>
    </row>
    <row r="482" spans="1:7" x14ac:dyDescent="0.35">
      <c r="A482" s="1" t="s">
        <v>369</v>
      </c>
      <c r="B482" s="1" t="s">
        <v>21</v>
      </c>
      <c r="C482">
        <v>17.8</v>
      </c>
      <c r="D482">
        <v>2</v>
      </c>
      <c r="E482" s="1" t="s">
        <v>51</v>
      </c>
      <c r="F482">
        <v>15</v>
      </c>
      <c r="G482" s="1" t="s">
        <v>42</v>
      </c>
    </row>
    <row r="483" spans="1:7" x14ac:dyDescent="0.35">
      <c r="A483" s="1" t="s">
        <v>380</v>
      </c>
      <c r="B483" s="1" t="s">
        <v>28</v>
      </c>
      <c r="C483">
        <v>1.39</v>
      </c>
      <c r="D483">
        <v>5</v>
      </c>
      <c r="E483" s="1" t="s">
        <v>51</v>
      </c>
      <c r="F483">
        <v>7</v>
      </c>
      <c r="G483" s="1" t="s">
        <v>40</v>
      </c>
    </row>
    <row r="484" spans="1:7" x14ac:dyDescent="0.35">
      <c r="A484" s="1" t="s">
        <v>374</v>
      </c>
      <c r="B484" s="1" t="s">
        <v>21</v>
      </c>
      <c r="C484">
        <v>48.41</v>
      </c>
      <c r="D484">
        <v>5</v>
      </c>
      <c r="E484" s="1" t="s">
        <v>51</v>
      </c>
      <c r="F484">
        <v>3</v>
      </c>
      <c r="G484" s="1" t="s">
        <v>40</v>
      </c>
    </row>
    <row r="485" spans="1:7" x14ac:dyDescent="0.35">
      <c r="A485" s="1" t="s">
        <v>381</v>
      </c>
      <c r="B485" s="1" t="s">
        <v>23</v>
      </c>
      <c r="C485">
        <v>56.99</v>
      </c>
      <c r="D485">
        <v>4</v>
      </c>
      <c r="E485" s="1" t="s">
        <v>51</v>
      </c>
      <c r="F485">
        <v>19</v>
      </c>
      <c r="G485" s="1" t="s">
        <v>43</v>
      </c>
    </row>
    <row r="486" spans="1:7" x14ac:dyDescent="0.35">
      <c r="A486" s="1" t="s">
        <v>370</v>
      </c>
      <c r="B486" s="1" t="s">
        <v>28</v>
      </c>
      <c r="C486">
        <v>42.88</v>
      </c>
      <c r="D486">
        <v>1</v>
      </c>
      <c r="E486" s="1" t="s">
        <v>51</v>
      </c>
      <c r="F486">
        <v>20</v>
      </c>
      <c r="G486" s="1" t="s">
        <v>42</v>
      </c>
    </row>
    <row r="487" spans="1:7" x14ac:dyDescent="0.35">
      <c r="A487" s="1" t="s">
        <v>382</v>
      </c>
      <c r="B487" s="1" t="s">
        <v>29</v>
      </c>
      <c r="C487">
        <v>53.9</v>
      </c>
      <c r="D487">
        <v>5</v>
      </c>
      <c r="E487" s="1" t="s">
        <v>51</v>
      </c>
      <c r="F487">
        <v>15</v>
      </c>
      <c r="G487" s="1" t="s">
        <v>43</v>
      </c>
    </row>
    <row r="488" spans="1:7" x14ac:dyDescent="0.35">
      <c r="A488" s="1" t="s">
        <v>383</v>
      </c>
      <c r="B488" s="1" t="s">
        <v>29</v>
      </c>
      <c r="C488">
        <v>51.2</v>
      </c>
      <c r="D488">
        <v>4</v>
      </c>
      <c r="E488" s="1" t="s">
        <v>51</v>
      </c>
      <c r="F488">
        <v>11</v>
      </c>
      <c r="G488" s="1" t="s">
        <v>43</v>
      </c>
    </row>
    <row r="489" spans="1:7" x14ac:dyDescent="0.35">
      <c r="A489" s="1" t="s">
        <v>384</v>
      </c>
      <c r="B489" s="1" t="s">
        <v>13</v>
      </c>
      <c r="C489">
        <v>37.03</v>
      </c>
      <c r="D489">
        <v>2</v>
      </c>
      <c r="E489" s="1" t="s">
        <v>51</v>
      </c>
      <c r="F489">
        <v>1</v>
      </c>
      <c r="G489" s="1" t="s">
        <v>41</v>
      </c>
    </row>
    <row r="490" spans="1:7" x14ac:dyDescent="0.35">
      <c r="A490" s="1" t="s">
        <v>360</v>
      </c>
      <c r="B490" s="1" t="s">
        <v>17</v>
      </c>
      <c r="C490">
        <v>25.39</v>
      </c>
      <c r="D490">
        <v>4</v>
      </c>
      <c r="E490" s="1" t="s">
        <v>51</v>
      </c>
      <c r="F490">
        <v>1</v>
      </c>
      <c r="G490" s="1" t="s">
        <v>40</v>
      </c>
    </row>
    <row r="491" spans="1:7" x14ac:dyDescent="0.35">
      <c r="A491" s="1" t="s">
        <v>385</v>
      </c>
      <c r="B491" s="1" t="s">
        <v>11</v>
      </c>
      <c r="C491">
        <v>52.71</v>
      </c>
      <c r="D491">
        <v>5</v>
      </c>
      <c r="E491" s="1" t="s">
        <v>51</v>
      </c>
      <c r="F491">
        <v>17</v>
      </c>
      <c r="G491" s="1" t="s">
        <v>43</v>
      </c>
    </row>
    <row r="492" spans="1:7" x14ac:dyDescent="0.35">
      <c r="A492" s="1" t="s">
        <v>370</v>
      </c>
      <c r="B492" s="1" t="s">
        <v>28</v>
      </c>
      <c r="C492">
        <v>6.88</v>
      </c>
      <c r="D492">
        <v>5</v>
      </c>
      <c r="E492" s="1" t="s">
        <v>51</v>
      </c>
      <c r="F492">
        <v>13</v>
      </c>
      <c r="G492" s="1" t="s">
        <v>43</v>
      </c>
    </row>
    <row r="493" spans="1:7" x14ac:dyDescent="0.35">
      <c r="A493" s="1" t="s">
        <v>375</v>
      </c>
      <c r="B493" s="1" t="s">
        <v>22</v>
      </c>
      <c r="C493">
        <v>46.49</v>
      </c>
      <c r="D493">
        <v>4</v>
      </c>
      <c r="E493" s="1" t="s">
        <v>51</v>
      </c>
      <c r="F493">
        <v>4</v>
      </c>
      <c r="G493" s="1" t="s">
        <v>40</v>
      </c>
    </row>
    <row r="494" spans="1:7" x14ac:dyDescent="0.35">
      <c r="A494" s="1" t="s">
        <v>371</v>
      </c>
      <c r="B494" s="1" t="s">
        <v>12</v>
      </c>
      <c r="C494">
        <v>25.3</v>
      </c>
      <c r="D494">
        <v>5</v>
      </c>
      <c r="E494" s="1" t="s">
        <v>68</v>
      </c>
      <c r="F494">
        <v>2</v>
      </c>
      <c r="G494" s="1" t="s">
        <v>40</v>
      </c>
    </row>
    <row r="495" spans="1:7" x14ac:dyDescent="0.35">
      <c r="A495" s="1" t="s">
        <v>378</v>
      </c>
      <c r="B495" s="1" t="s">
        <v>15</v>
      </c>
      <c r="C495">
        <v>26.11</v>
      </c>
      <c r="D495">
        <v>2</v>
      </c>
      <c r="E495" s="1" t="s">
        <v>51</v>
      </c>
      <c r="F495">
        <v>1</v>
      </c>
      <c r="G495" s="1" t="s">
        <v>41</v>
      </c>
    </row>
    <row r="496" spans="1:7" x14ac:dyDescent="0.35">
      <c r="A496" s="1" t="s">
        <v>374</v>
      </c>
      <c r="B496" s="1" t="s">
        <v>16</v>
      </c>
      <c r="C496">
        <v>52.92</v>
      </c>
      <c r="D496">
        <v>3</v>
      </c>
      <c r="E496" s="1" t="s">
        <v>51</v>
      </c>
      <c r="F496">
        <v>12</v>
      </c>
      <c r="G496" s="1" t="s">
        <v>42</v>
      </c>
    </row>
    <row r="497" spans="1:7" x14ac:dyDescent="0.35">
      <c r="A497" s="1" t="s">
        <v>382</v>
      </c>
      <c r="B497" s="1" t="s">
        <v>25</v>
      </c>
      <c r="C497">
        <v>1.58</v>
      </c>
      <c r="D497">
        <v>4</v>
      </c>
      <c r="E497" s="1" t="s">
        <v>51</v>
      </c>
      <c r="F497">
        <v>3</v>
      </c>
      <c r="G497" s="1" t="s">
        <v>40</v>
      </c>
    </row>
    <row r="498" spans="1:7" x14ac:dyDescent="0.35">
      <c r="A498" s="1" t="s">
        <v>370</v>
      </c>
      <c r="B498" s="1" t="s">
        <v>16</v>
      </c>
      <c r="C498">
        <v>52.21</v>
      </c>
      <c r="D498">
        <v>4</v>
      </c>
      <c r="E498" s="1" t="s">
        <v>51</v>
      </c>
      <c r="F498">
        <v>20</v>
      </c>
      <c r="G498" s="1" t="s">
        <v>43</v>
      </c>
    </row>
    <row r="499" spans="1:7" x14ac:dyDescent="0.35">
      <c r="A499" s="1" t="s">
        <v>370</v>
      </c>
      <c r="B499" s="1" t="s">
        <v>13</v>
      </c>
      <c r="C499">
        <v>17.350000000000001</v>
      </c>
      <c r="D499">
        <v>5</v>
      </c>
      <c r="E499" s="1" t="s">
        <v>68</v>
      </c>
      <c r="F499">
        <v>22</v>
      </c>
      <c r="G499" s="1" t="s">
        <v>43</v>
      </c>
    </row>
    <row r="500" spans="1:7" x14ac:dyDescent="0.35">
      <c r="A500" s="1" t="s">
        <v>386</v>
      </c>
      <c r="B500" s="1" t="s">
        <v>7</v>
      </c>
      <c r="C500">
        <v>30.52</v>
      </c>
      <c r="D500">
        <v>2</v>
      </c>
      <c r="E500" s="1" t="s">
        <v>51</v>
      </c>
      <c r="F500">
        <v>13</v>
      </c>
      <c r="G500" s="1" t="s">
        <v>42</v>
      </c>
    </row>
    <row r="501" spans="1:7" x14ac:dyDescent="0.35">
      <c r="A501" s="1" t="s">
        <v>368</v>
      </c>
      <c r="B501" s="1" t="s">
        <v>15</v>
      </c>
      <c r="C501">
        <v>33.909999999999997</v>
      </c>
      <c r="D501">
        <v>4</v>
      </c>
      <c r="E501" s="1" t="s">
        <v>51</v>
      </c>
      <c r="F501">
        <v>1</v>
      </c>
      <c r="G501" s="1" t="s">
        <v>40</v>
      </c>
    </row>
    <row r="502" spans="1:7" x14ac:dyDescent="0.35">
      <c r="A502" s="1" t="s">
        <v>387</v>
      </c>
      <c r="B502" s="1" t="s">
        <v>17</v>
      </c>
      <c r="C502">
        <v>6.55</v>
      </c>
      <c r="D502">
        <v>4</v>
      </c>
      <c r="E502" s="1" t="s">
        <v>51</v>
      </c>
      <c r="F502">
        <v>1</v>
      </c>
      <c r="G502" s="1" t="s">
        <v>40</v>
      </c>
    </row>
    <row r="503" spans="1:7" x14ac:dyDescent="0.35">
      <c r="A503" s="1" t="s">
        <v>388</v>
      </c>
      <c r="B503" s="1" t="s">
        <v>6</v>
      </c>
      <c r="C503">
        <v>39.200000000000003</v>
      </c>
      <c r="D503">
        <v>4</v>
      </c>
      <c r="E503" s="1" t="s">
        <v>51</v>
      </c>
      <c r="F503">
        <v>12</v>
      </c>
      <c r="G503" s="1" t="s">
        <v>43</v>
      </c>
    </row>
    <row r="504" spans="1:7" x14ac:dyDescent="0.35">
      <c r="A504" s="1" t="s">
        <v>389</v>
      </c>
      <c r="B504" s="1" t="s">
        <v>3</v>
      </c>
      <c r="C504">
        <v>20.62</v>
      </c>
      <c r="D504">
        <v>4</v>
      </c>
      <c r="E504" s="1" t="s">
        <v>68</v>
      </c>
      <c r="F504">
        <v>6</v>
      </c>
      <c r="G504" s="1" t="s">
        <v>40</v>
      </c>
    </row>
    <row r="505" spans="1:7" x14ac:dyDescent="0.35">
      <c r="A505" s="1" t="s">
        <v>390</v>
      </c>
      <c r="B505" s="1" t="s">
        <v>24</v>
      </c>
      <c r="C505">
        <v>25.14</v>
      </c>
      <c r="D505">
        <v>4</v>
      </c>
      <c r="E505" s="1" t="s">
        <v>68</v>
      </c>
      <c r="F505">
        <v>1</v>
      </c>
      <c r="G505" s="1" t="s">
        <v>40</v>
      </c>
    </row>
    <row r="506" spans="1:7" x14ac:dyDescent="0.35">
      <c r="A506" s="1" t="s">
        <v>391</v>
      </c>
      <c r="B506" s="1" t="s">
        <v>18</v>
      </c>
      <c r="C506">
        <v>23.09</v>
      </c>
      <c r="D506">
        <v>2</v>
      </c>
      <c r="E506" s="1" t="s">
        <v>51</v>
      </c>
      <c r="F506">
        <v>8</v>
      </c>
      <c r="G506" s="1" t="s">
        <v>41</v>
      </c>
    </row>
    <row r="507" spans="1:7" x14ac:dyDescent="0.35">
      <c r="A507" s="1" t="s">
        <v>392</v>
      </c>
      <c r="B507" s="1" t="s">
        <v>12</v>
      </c>
      <c r="C507">
        <v>42.15</v>
      </c>
      <c r="D507">
        <v>3</v>
      </c>
      <c r="E507" s="1" t="s">
        <v>51</v>
      </c>
      <c r="F507">
        <v>19</v>
      </c>
      <c r="G507" s="1" t="s">
        <v>42</v>
      </c>
    </row>
    <row r="508" spans="1:7" x14ac:dyDescent="0.35">
      <c r="A508" s="1" t="s">
        <v>393</v>
      </c>
      <c r="B508" s="1" t="s">
        <v>24</v>
      </c>
      <c r="C508">
        <v>33.54</v>
      </c>
      <c r="D508">
        <v>5</v>
      </c>
      <c r="E508" s="1" t="s">
        <v>51</v>
      </c>
      <c r="F508">
        <v>17</v>
      </c>
      <c r="G508" s="1" t="s">
        <v>43</v>
      </c>
    </row>
    <row r="509" spans="1:7" x14ac:dyDescent="0.35">
      <c r="A509" s="1" t="s">
        <v>394</v>
      </c>
      <c r="B509" s="1" t="s">
        <v>3</v>
      </c>
      <c r="C509">
        <v>10.36</v>
      </c>
      <c r="D509">
        <v>4</v>
      </c>
      <c r="E509" s="1" t="s">
        <v>51</v>
      </c>
      <c r="F509">
        <v>4</v>
      </c>
      <c r="G509" s="1" t="s">
        <v>40</v>
      </c>
    </row>
    <row r="510" spans="1:7" x14ac:dyDescent="0.35">
      <c r="A510" s="1" t="s">
        <v>395</v>
      </c>
      <c r="B510" s="1" t="s">
        <v>23</v>
      </c>
      <c r="C510">
        <v>58.27</v>
      </c>
      <c r="D510">
        <v>5</v>
      </c>
      <c r="E510" s="1" t="s">
        <v>51</v>
      </c>
      <c r="F510">
        <v>17</v>
      </c>
      <c r="G510" s="1" t="s">
        <v>43</v>
      </c>
    </row>
    <row r="511" spans="1:7" x14ac:dyDescent="0.35">
      <c r="A511" s="1" t="s">
        <v>396</v>
      </c>
      <c r="B511" s="1" t="s">
        <v>23</v>
      </c>
      <c r="C511">
        <v>58.24</v>
      </c>
      <c r="D511">
        <v>3</v>
      </c>
      <c r="E511" s="1" t="s">
        <v>51</v>
      </c>
      <c r="F511">
        <v>12</v>
      </c>
      <c r="G511" s="1" t="s">
        <v>42</v>
      </c>
    </row>
    <row r="512" spans="1:7" x14ac:dyDescent="0.35">
      <c r="A512" s="1" t="s">
        <v>397</v>
      </c>
      <c r="B512" s="1" t="s">
        <v>25</v>
      </c>
      <c r="C512">
        <v>33.43</v>
      </c>
      <c r="D512">
        <v>4</v>
      </c>
      <c r="E512" s="1" t="s">
        <v>51</v>
      </c>
      <c r="F512">
        <v>16</v>
      </c>
      <c r="G512" s="1" t="s">
        <v>43</v>
      </c>
    </row>
    <row r="513" spans="1:7" x14ac:dyDescent="0.35">
      <c r="A513" s="1" t="s">
        <v>392</v>
      </c>
      <c r="B513" s="1" t="s">
        <v>11</v>
      </c>
      <c r="C513">
        <v>58.23</v>
      </c>
      <c r="D513">
        <v>1</v>
      </c>
      <c r="E513" s="1" t="s">
        <v>68</v>
      </c>
      <c r="F513">
        <v>6</v>
      </c>
      <c r="G513" s="1" t="s">
        <v>41</v>
      </c>
    </row>
    <row r="514" spans="1:7" x14ac:dyDescent="0.35">
      <c r="A514" s="1" t="s">
        <v>398</v>
      </c>
      <c r="B514" s="1" t="s">
        <v>22</v>
      </c>
      <c r="C514">
        <v>40.83</v>
      </c>
      <c r="D514">
        <v>4</v>
      </c>
      <c r="E514" s="1" t="s">
        <v>51</v>
      </c>
      <c r="F514">
        <v>14</v>
      </c>
      <c r="G514" s="1" t="s">
        <v>43</v>
      </c>
    </row>
    <row r="515" spans="1:7" x14ac:dyDescent="0.35">
      <c r="A515" s="1" t="s">
        <v>399</v>
      </c>
      <c r="B515" s="1" t="s">
        <v>4</v>
      </c>
      <c r="C515">
        <v>24.7</v>
      </c>
      <c r="D515">
        <v>5</v>
      </c>
      <c r="E515" s="1" t="s">
        <v>51</v>
      </c>
      <c r="F515">
        <v>9</v>
      </c>
      <c r="G515" s="1" t="s">
        <v>40</v>
      </c>
    </row>
    <row r="516" spans="1:7" x14ac:dyDescent="0.35">
      <c r="A516" s="1" t="s">
        <v>400</v>
      </c>
      <c r="B516" s="1" t="s">
        <v>16</v>
      </c>
      <c r="C516">
        <v>42.74</v>
      </c>
      <c r="D516">
        <v>3</v>
      </c>
      <c r="E516" s="1" t="s">
        <v>51</v>
      </c>
      <c r="F516">
        <v>20</v>
      </c>
      <c r="G516" s="1" t="s">
        <v>42</v>
      </c>
    </row>
    <row r="517" spans="1:7" x14ac:dyDescent="0.35">
      <c r="A517" s="1" t="s">
        <v>387</v>
      </c>
      <c r="B517" s="1" t="s">
        <v>3</v>
      </c>
      <c r="C517">
        <v>27.35</v>
      </c>
      <c r="D517">
        <v>3</v>
      </c>
      <c r="E517" s="1" t="s">
        <v>51</v>
      </c>
      <c r="F517">
        <v>4</v>
      </c>
      <c r="G517" s="1" t="s">
        <v>41</v>
      </c>
    </row>
    <row r="518" spans="1:7" x14ac:dyDescent="0.35">
      <c r="A518" s="1" t="s">
        <v>401</v>
      </c>
      <c r="B518" s="1" t="s">
        <v>24</v>
      </c>
      <c r="C518">
        <v>34.57</v>
      </c>
      <c r="D518">
        <v>1</v>
      </c>
      <c r="E518" s="1" t="s">
        <v>51</v>
      </c>
      <c r="F518">
        <v>2</v>
      </c>
      <c r="G518" s="1" t="s">
        <v>41</v>
      </c>
    </row>
    <row r="519" spans="1:7" x14ac:dyDescent="0.35">
      <c r="A519" s="1" t="s">
        <v>402</v>
      </c>
      <c r="B519" s="1" t="s">
        <v>1</v>
      </c>
      <c r="C519">
        <v>57.93</v>
      </c>
      <c r="D519">
        <v>5</v>
      </c>
      <c r="E519" s="1" t="s">
        <v>51</v>
      </c>
      <c r="F519">
        <v>10</v>
      </c>
      <c r="G519" s="1" t="s">
        <v>40</v>
      </c>
    </row>
    <row r="520" spans="1:7" x14ac:dyDescent="0.35">
      <c r="A520" s="1" t="s">
        <v>403</v>
      </c>
      <c r="B520" s="1" t="s">
        <v>3</v>
      </c>
      <c r="C520">
        <v>25.02</v>
      </c>
      <c r="D520">
        <v>1</v>
      </c>
      <c r="E520" s="1" t="s">
        <v>51</v>
      </c>
      <c r="F520">
        <v>5</v>
      </c>
      <c r="G520" s="1" t="s">
        <v>41</v>
      </c>
    </row>
    <row r="521" spans="1:7" x14ac:dyDescent="0.35">
      <c r="A521" s="1" t="s">
        <v>404</v>
      </c>
      <c r="B521" s="1" t="s">
        <v>20</v>
      </c>
      <c r="C521">
        <v>1.74</v>
      </c>
      <c r="D521">
        <v>3</v>
      </c>
      <c r="E521" s="1" t="s">
        <v>51</v>
      </c>
      <c r="F521">
        <v>15</v>
      </c>
      <c r="G521" s="1" t="s">
        <v>42</v>
      </c>
    </row>
    <row r="522" spans="1:7" x14ac:dyDescent="0.35">
      <c r="A522" s="1" t="s">
        <v>405</v>
      </c>
      <c r="B522" s="1" t="s">
        <v>30</v>
      </c>
      <c r="C522">
        <v>19.600000000000001</v>
      </c>
      <c r="D522">
        <v>4</v>
      </c>
      <c r="E522" s="1" t="s">
        <v>51</v>
      </c>
      <c r="F522">
        <v>20</v>
      </c>
      <c r="G522" s="1" t="s">
        <v>43</v>
      </c>
    </row>
    <row r="523" spans="1:7" x14ac:dyDescent="0.35">
      <c r="A523" s="1" t="s">
        <v>392</v>
      </c>
      <c r="B523" s="1" t="s">
        <v>15</v>
      </c>
      <c r="C523">
        <v>34.67</v>
      </c>
      <c r="D523">
        <v>3</v>
      </c>
      <c r="E523" s="1" t="s">
        <v>51</v>
      </c>
      <c r="F523">
        <v>13</v>
      </c>
      <c r="G523" s="1" t="s">
        <v>42</v>
      </c>
    </row>
    <row r="524" spans="1:7" x14ac:dyDescent="0.35">
      <c r="A524" s="1" t="s">
        <v>392</v>
      </c>
      <c r="B524" s="1" t="s">
        <v>7</v>
      </c>
      <c r="C524">
        <v>49.73</v>
      </c>
      <c r="D524">
        <v>4</v>
      </c>
      <c r="E524" s="1" t="s">
        <v>68</v>
      </c>
      <c r="F524">
        <v>6</v>
      </c>
      <c r="G524" s="1" t="s">
        <v>40</v>
      </c>
    </row>
    <row r="525" spans="1:7" x14ac:dyDescent="0.35">
      <c r="A525" s="1" t="s">
        <v>399</v>
      </c>
      <c r="B525" s="1" t="s">
        <v>14</v>
      </c>
      <c r="C525">
        <v>44.19</v>
      </c>
      <c r="D525">
        <v>5</v>
      </c>
      <c r="E525" s="1" t="s">
        <v>51</v>
      </c>
      <c r="F525">
        <v>8</v>
      </c>
      <c r="G525" s="1" t="s">
        <v>40</v>
      </c>
    </row>
    <row r="526" spans="1:7" x14ac:dyDescent="0.35">
      <c r="A526" s="1" t="s">
        <v>406</v>
      </c>
      <c r="B526" s="1" t="s">
        <v>28</v>
      </c>
      <c r="C526">
        <v>20.04</v>
      </c>
      <c r="D526">
        <v>3</v>
      </c>
      <c r="E526" s="1" t="s">
        <v>68</v>
      </c>
      <c r="F526">
        <v>7</v>
      </c>
      <c r="G526" s="1" t="s">
        <v>41</v>
      </c>
    </row>
    <row r="527" spans="1:7" x14ac:dyDescent="0.35">
      <c r="A527" s="1" t="s">
        <v>407</v>
      </c>
      <c r="B527" s="1" t="s">
        <v>4</v>
      </c>
      <c r="C527">
        <v>40.93</v>
      </c>
      <c r="D527">
        <v>5</v>
      </c>
      <c r="E527" s="1" t="s">
        <v>61</v>
      </c>
      <c r="F527">
        <v>0</v>
      </c>
      <c r="G527" s="1" t="s">
        <v>40</v>
      </c>
    </row>
    <row r="528" spans="1:7" x14ac:dyDescent="0.35">
      <c r="A528" s="1" t="s">
        <v>408</v>
      </c>
      <c r="B528" s="1" t="s">
        <v>21</v>
      </c>
      <c r="C528">
        <v>24.56</v>
      </c>
      <c r="D528">
        <v>5</v>
      </c>
      <c r="E528" s="1" t="s">
        <v>51</v>
      </c>
      <c r="F528">
        <v>15</v>
      </c>
      <c r="G528" s="1" t="s">
        <v>43</v>
      </c>
    </row>
    <row r="529" spans="1:7" x14ac:dyDescent="0.35">
      <c r="A529" s="1" t="s">
        <v>409</v>
      </c>
      <c r="B529" s="1" t="s">
        <v>29</v>
      </c>
      <c r="C529">
        <v>42.83</v>
      </c>
      <c r="D529">
        <v>5</v>
      </c>
      <c r="E529" s="1" t="s">
        <v>51</v>
      </c>
      <c r="F529">
        <v>11</v>
      </c>
      <c r="G529" s="1" t="s">
        <v>43</v>
      </c>
    </row>
    <row r="530" spans="1:7" x14ac:dyDescent="0.35">
      <c r="A530" s="1" t="s">
        <v>401</v>
      </c>
      <c r="B530" s="1" t="s">
        <v>25</v>
      </c>
      <c r="C530">
        <v>43.06</v>
      </c>
      <c r="D530">
        <v>4</v>
      </c>
      <c r="E530" s="1" t="s">
        <v>51</v>
      </c>
      <c r="F530">
        <v>5</v>
      </c>
      <c r="G530" s="1" t="s">
        <v>40</v>
      </c>
    </row>
    <row r="531" spans="1:7" x14ac:dyDescent="0.35">
      <c r="A531" s="1" t="s">
        <v>400</v>
      </c>
      <c r="B531" s="1" t="s">
        <v>5</v>
      </c>
      <c r="C531">
        <v>35.64</v>
      </c>
      <c r="D531">
        <v>4</v>
      </c>
      <c r="E531" s="1" t="s">
        <v>51</v>
      </c>
      <c r="F531">
        <v>13</v>
      </c>
      <c r="G531" s="1" t="s">
        <v>43</v>
      </c>
    </row>
    <row r="532" spans="1:7" x14ac:dyDescent="0.35">
      <c r="A532" s="1" t="s">
        <v>410</v>
      </c>
      <c r="B532" s="1" t="s">
        <v>9</v>
      </c>
      <c r="C532">
        <v>34.590000000000003</v>
      </c>
      <c r="D532">
        <v>4</v>
      </c>
      <c r="E532" s="1" t="s">
        <v>51</v>
      </c>
      <c r="F532">
        <v>17</v>
      </c>
      <c r="G532" s="1" t="s">
        <v>43</v>
      </c>
    </row>
    <row r="533" spans="1:7" x14ac:dyDescent="0.35">
      <c r="A533" s="1" t="s">
        <v>411</v>
      </c>
      <c r="B533" s="1" t="s">
        <v>2</v>
      </c>
      <c r="C533">
        <v>44.62</v>
      </c>
      <c r="D533">
        <v>4</v>
      </c>
      <c r="E533" s="1" t="s">
        <v>51</v>
      </c>
      <c r="F533">
        <v>8</v>
      </c>
      <c r="G533" s="1" t="s">
        <v>40</v>
      </c>
    </row>
    <row r="534" spans="1:7" x14ac:dyDescent="0.35">
      <c r="A534" s="1" t="s">
        <v>412</v>
      </c>
      <c r="B534" s="1" t="s">
        <v>15</v>
      </c>
      <c r="C534">
        <v>32.67</v>
      </c>
      <c r="D534">
        <v>5</v>
      </c>
      <c r="E534" s="1" t="s">
        <v>51</v>
      </c>
      <c r="F534">
        <v>21</v>
      </c>
      <c r="G534" s="1" t="s">
        <v>43</v>
      </c>
    </row>
    <row r="535" spans="1:7" x14ac:dyDescent="0.35">
      <c r="A535" s="1" t="s">
        <v>413</v>
      </c>
      <c r="B535" s="1" t="s">
        <v>30</v>
      </c>
      <c r="C535">
        <v>27.91</v>
      </c>
      <c r="D535">
        <v>1</v>
      </c>
      <c r="E535" s="1" t="s">
        <v>51</v>
      </c>
      <c r="F535">
        <v>20</v>
      </c>
      <c r="G535" s="1" t="s">
        <v>42</v>
      </c>
    </row>
    <row r="536" spans="1:7" x14ac:dyDescent="0.35">
      <c r="A536" s="1" t="s">
        <v>414</v>
      </c>
      <c r="B536" s="1" t="s">
        <v>29</v>
      </c>
      <c r="C536">
        <v>58.48</v>
      </c>
      <c r="D536">
        <v>4</v>
      </c>
      <c r="E536" s="1" t="s">
        <v>51</v>
      </c>
      <c r="F536">
        <v>3</v>
      </c>
      <c r="G536" s="1" t="s">
        <v>40</v>
      </c>
    </row>
    <row r="537" spans="1:7" x14ac:dyDescent="0.35">
      <c r="A537" s="1" t="s">
        <v>415</v>
      </c>
      <c r="B537" s="1" t="s">
        <v>28</v>
      </c>
      <c r="C537">
        <v>34.68</v>
      </c>
      <c r="D537">
        <v>3</v>
      </c>
      <c r="E537" s="1" t="s">
        <v>51</v>
      </c>
      <c r="F537">
        <v>13</v>
      </c>
      <c r="G537" s="1" t="s">
        <v>42</v>
      </c>
    </row>
    <row r="538" spans="1:7" x14ac:dyDescent="0.35">
      <c r="A538" s="1" t="s">
        <v>416</v>
      </c>
      <c r="B538" s="1" t="s">
        <v>21</v>
      </c>
      <c r="C538">
        <v>49.92</v>
      </c>
      <c r="D538">
        <v>3</v>
      </c>
      <c r="E538" s="1" t="s">
        <v>51</v>
      </c>
      <c r="F538">
        <v>19</v>
      </c>
      <c r="G538" s="1" t="s">
        <v>42</v>
      </c>
    </row>
    <row r="539" spans="1:7" x14ac:dyDescent="0.35">
      <c r="A539" s="1" t="s">
        <v>394</v>
      </c>
      <c r="B539" s="1" t="s">
        <v>2</v>
      </c>
      <c r="C539">
        <v>23.56</v>
      </c>
      <c r="D539">
        <v>4</v>
      </c>
      <c r="E539" s="1" t="s">
        <v>51</v>
      </c>
      <c r="F539">
        <v>7</v>
      </c>
      <c r="G539" s="1" t="s">
        <v>40</v>
      </c>
    </row>
    <row r="540" spans="1:7" x14ac:dyDescent="0.35">
      <c r="A540" s="1" t="s">
        <v>415</v>
      </c>
      <c r="B540" s="1" t="s">
        <v>14</v>
      </c>
      <c r="C540">
        <v>23.12</v>
      </c>
      <c r="D540">
        <v>2</v>
      </c>
      <c r="E540" s="1" t="s">
        <v>51</v>
      </c>
      <c r="F540">
        <v>9</v>
      </c>
      <c r="G540" s="1" t="s">
        <v>41</v>
      </c>
    </row>
    <row r="541" spans="1:7" x14ac:dyDescent="0.35">
      <c r="A541" s="1" t="s">
        <v>414</v>
      </c>
      <c r="B541" s="1" t="s">
        <v>4</v>
      </c>
      <c r="C541">
        <v>16.38</v>
      </c>
      <c r="D541">
        <v>4</v>
      </c>
      <c r="E541" s="1" t="s">
        <v>51</v>
      </c>
      <c r="F541">
        <v>1</v>
      </c>
      <c r="G541" s="1" t="s">
        <v>40</v>
      </c>
    </row>
    <row r="542" spans="1:7" x14ac:dyDescent="0.35">
      <c r="A542" s="1" t="s">
        <v>397</v>
      </c>
      <c r="B542" s="1" t="s">
        <v>13</v>
      </c>
      <c r="C542">
        <v>45.1</v>
      </c>
      <c r="D542">
        <v>1</v>
      </c>
      <c r="E542" s="1" t="s">
        <v>51</v>
      </c>
      <c r="F542">
        <v>14</v>
      </c>
      <c r="G542" s="1" t="s">
        <v>42</v>
      </c>
    </row>
    <row r="543" spans="1:7" x14ac:dyDescent="0.35">
      <c r="A543" s="1" t="s">
        <v>417</v>
      </c>
      <c r="B543" s="1" t="s">
        <v>27</v>
      </c>
      <c r="C543">
        <v>34.35</v>
      </c>
      <c r="D543">
        <v>5</v>
      </c>
      <c r="E543" s="1" t="s">
        <v>51</v>
      </c>
      <c r="F543">
        <v>18</v>
      </c>
      <c r="G543" s="1" t="s">
        <v>43</v>
      </c>
    </row>
    <row r="544" spans="1:7" x14ac:dyDescent="0.35">
      <c r="A544" s="1" t="s">
        <v>418</v>
      </c>
      <c r="B544" s="1" t="s">
        <v>14</v>
      </c>
      <c r="C544">
        <v>21.05</v>
      </c>
      <c r="D544">
        <v>4</v>
      </c>
      <c r="E544" s="1" t="s">
        <v>51</v>
      </c>
      <c r="F544">
        <v>14</v>
      </c>
      <c r="G544" s="1" t="s">
        <v>43</v>
      </c>
    </row>
    <row r="545" spans="1:7" x14ac:dyDescent="0.35">
      <c r="A545" s="1" t="s">
        <v>406</v>
      </c>
      <c r="B545" s="1" t="s">
        <v>29</v>
      </c>
      <c r="C545">
        <v>52.93</v>
      </c>
      <c r="D545">
        <v>5</v>
      </c>
      <c r="E545" s="1" t="s">
        <v>51</v>
      </c>
      <c r="F545">
        <v>5</v>
      </c>
      <c r="G545" s="1" t="s">
        <v>40</v>
      </c>
    </row>
    <row r="546" spans="1:7" x14ac:dyDescent="0.35">
      <c r="A546" s="1" t="s">
        <v>416</v>
      </c>
      <c r="B546" s="1" t="s">
        <v>28</v>
      </c>
      <c r="C546">
        <v>46.56</v>
      </c>
      <c r="D546">
        <v>1</v>
      </c>
      <c r="E546" s="1" t="s">
        <v>68</v>
      </c>
      <c r="F546">
        <v>15</v>
      </c>
      <c r="G546" s="1" t="s">
        <v>42</v>
      </c>
    </row>
    <row r="547" spans="1:7" x14ac:dyDescent="0.35">
      <c r="A547" s="1" t="s">
        <v>419</v>
      </c>
      <c r="B547" s="1" t="s">
        <v>8</v>
      </c>
      <c r="C547">
        <v>45.63</v>
      </c>
      <c r="D547">
        <v>2</v>
      </c>
      <c r="E547" s="1" t="s">
        <v>51</v>
      </c>
      <c r="F547">
        <v>20</v>
      </c>
      <c r="G547" s="1" t="s">
        <v>42</v>
      </c>
    </row>
    <row r="548" spans="1:7" x14ac:dyDescent="0.35">
      <c r="A548" s="1" t="s">
        <v>389</v>
      </c>
      <c r="B548" s="1" t="s">
        <v>27</v>
      </c>
      <c r="C548">
        <v>26.61</v>
      </c>
      <c r="D548">
        <v>5</v>
      </c>
      <c r="E548" s="1" t="s">
        <v>51</v>
      </c>
      <c r="F548">
        <v>3</v>
      </c>
      <c r="G548" s="1" t="s">
        <v>40</v>
      </c>
    </row>
    <row r="549" spans="1:7" x14ac:dyDescent="0.35">
      <c r="A549" s="1" t="s">
        <v>420</v>
      </c>
      <c r="B549" s="1" t="s">
        <v>28</v>
      </c>
      <c r="C549">
        <v>52.11</v>
      </c>
      <c r="D549">
        <v>4</v>
      </c>
      <c r="E549" s="1" t="s">
        <v>51</v>
      </c>
      <c r="F549">
        <v>14</v>
      </c>
      <c r="G549" s="1" t="s">
        <v>43</v>
      </c>
    </row>
    <row r="550" spans="1:7" x14ac:dyDescent="0.35">
      <c r="A550" s="1" t="s">
        <v>421</v>
      </c>
      <c r="B550" s="1" t="s">
        <v>3</v>
      </c>
      <c r="C550">
        <v>47.21</v>
      </c>
      <c r="D550">
        <v>3</v>
      </c>
      <c r="E550" s="1" t="s">
        <v>68</v>
      </c>
      <c r="F550">
        <v>2</v>
      </c>
      <c r="G550" s="1" t="s">
        <v>41</v>
      </c>
    </row>
    <row r="551" spans="1:7" x14ac:dyDescent="0.35">
      <c r="A551" s="1" t="s">
        <v>404</v>
      </c>
      <c r="B551" s="1" t="s">
        <v>9</v>
      </c>
      <c r="C551">
        <v>8.93</v>
      </c>
      <c r="D551">
        <v>4</v>
      </c>
      <c r="E551" s="1" t="s">
        <v>51</v>
      </c>
      <c r="F551">
        <v>10</v>
      </c>
      <c r="G551" s="1" t="s">
        <v>40</v>
      </c>
    </row>
    <row r="552" spans="1:7" x14ac:dyDescent="0.35">
      <c r="A552" s="1" t="s">
        <v>422</v>
      </c>
      <c r="B552" s="1" t="s">
        <v>11</v>
      </c>
      <c r="C552">
        <v>6.59</v>
      </c>
      <c r="D552">
        <v>4</v>
      </c>
      <c r="E552" s="1" t="s">
        <v>68</v>
      </c>
      <c r="F552">
        <v>4</v>
      </c>
      <c r="G552" s="1" t="s">
        <v>40</v>
      </c>
    </row>
    <row r="553" spans="1:7" x14ac:dyDescent="0.35">
      <c r="A553" s="1" t="s">
        <v>423</v>
      </c>
      <c r="B553" s="1" t="s">
        <v>11</v>
      </c>
      <c r="C553">
        <v>54.45</v>
      </c>
      <c r="D553">
        <v>4</v>
      </c>
      <c r="E553" s="1" t="s">
        <v>51</v>
      </c>
      <c r="F553">
        <v>7</v>
      </c>
      <c r="G553" s="1" t="s">
        <v>40</v>
      </c>
    </row>
    <row r="554" spans="1:7" x14ac:dyDescent="0.35">
      <c r="A554" s="1" t="s">
        <v>424</v>
      </c>
      <c r="B554" s="1" t="s">
        <v>9</v>
      </c>
      <c r="C554">
        <v>7.95</v>
      </c>
      <c r="D554">
        <v>3</v>
      </c>
      <c r="E554" s="1" t="s">
        <v>51</v>
      </c>
      <c r="F554">
        <v>11</v>
      </c>
      <c r="G554" s="1" t="s">
        <v>42</v>
      </c>
    </row>
    <row r="555" spans="1:7" x14ac:dyDescent="0.35">
      <c r="A555" s="1" t="s">
        <v>425</v>
      </c>
      <c r="B555" s="1" t="s">
        <v>9</v>
      </c>
      <c r="C555">
        <v>49.97</v>
      </c>
      <c r="D555">
        <v>2</v>
      </c>
      <c r="E555" s="1" t="s">
        <v>51</v>
      </c>
      <c r="F555">
        <v>5</v>
      </c>
      <c r="G555" s="1" t="s">
        <v>41</v>
      </c>
    </row>
    <row r="556" spans="1:7" x14ac:dyDescent="0.35">
      <c r="A556" s="1" t="s">
        <v>426</v>
      </c>
      <c r="B556" s="1" t="s">
        <v>13</v>
      </c>
      <c r="C556">
        <v>47.01</v>
      </c>
      <c r="D556">
        <v>4</v>
      </c>
      <c r="E556" s="1" t="s">
        <v>51</v>
      </c>
      <c r="F556">
        <v>2</v>
      </c>
      <c r="G556" s="1" t="s">
        <v>40</v>
      </c>
    </row>
    <row r="557" spans="1:7" x14ac:dyDescent="0.35">
      <c r="A557" s="1" t="s">
        <v>427</v>
      </c>
      <c r="B557" s="1" t="s">
        <v>12</v>
      </c>
      <c r="C557">
        <v>3.89</v>
      </c>
      <c r="D557">
        <v>5</v>
      </c>
      <c r="E557" s="1" t="s">
        <v>51</v>
      </c>
      <c r="F557">
        <v>13</v>
      </c>
      <c r="G557" s="1" t="s">
        <v>43</v>
      </c>
    </row>
    <row r="558" spans="1:7" x14ac:dyDescent="0.35">
      <c r="A558" s="1" t="s">
        <v>428</v>
      </c>
      <c r="B558" s="1" t="s">
        <v>19</v>
      </c>
      <c r="C558">
        <v>10.45</v>
      </c>
      <c r="D558">
        <v>5</v>
      </c>
      <c r="E558" s="1" t="s">
        <v>61</v>
      </c>
      <c r="F558">
        <v>0</v>
      </c>
      <c r="G558" s="1" t="s">
        <v>40</v>
      </c>
    </row>
    <row r="559" spans="1:7" x14ac:dyDescent="0.35">
      <c r="A559" s="1" t="s">
        <v>429</v>
      </c>
      <c r="B559" s="1" t="s">
        <v>12</v>
      </c>
      <c r="C559">
        <v>45.87</v>
      </c>
      <c r="D559">
        <v>1</v>
      </c>
      <c r="E559" s="1" t="s">
        <v>51</v>
      </c>
      <c r="F559">
        <v>10</v>
      </c>
      <c r="G559" s="1" t="s">
        <v>41</v>
      </c>
    </row>
    <row r="560" spans="1:7" x14ac:dyDescent="0.35">
      <c r="A560" s="1" t="s">
        <v>430</v>
      </c>
      <c r="B560" s="1" t="s">
        <v>12</v>
      </c>
      <c r="C560">
        <v>7.66</v>
      </c>
      <c r="D560">
        <v>4</v>
      </c>
      <c r="E560" s="1" t="s">
        <v>51</v>
      </c>
      <c r="F560">
        <v>16</v>
      </c>
      <c r="G560" s="1" t="s">
        <v>43</v>
      </c>
    </row>
    <row r="561" spans="1:7" x14ac:dyDescent="0.35">
      <c r="A561" s="1" t="s">
        <v>427</v>
      </c>
      <c r="B561" s="1" t="s">
        <v>12</v>
      </c>
      <c r="C561">
        <v>54.37</v>
      </c>
      <c r="D561">
        <v>4</v>
      </c>
      <c r="E561" s="1" t="s">
        <v>51</v>
      </c>
      <c r="F561">
        <v>22</v>
      </c>
      <c r="G561" s="1" t="s">
        <v>43</v>
      </c>
    </row>
    <row r="562" spans="1:7" x14ac:dyDescent="0.35">
      <c r="A562" s="1" t="s">
        <v>424</v>
      </c>
      <c r="B562" s="1" t="s">
        <v>16</v>
      </c>
      <c r="C562">
        <v>40.380000000000003</v>
      </c>
      <c r="D562">
        <v>1</v>
      </c>
      <c r="E562" s="1" t="s">
        <v>51</v>
      </c>
      <c r="F562">
        <v>21</v>
      </c>
      <c r="G562" s="1" t="s">
        <v>42</v>
      </c>
    </row>
    <row r="563" spans="1:7" x14ac:dyDescent="0.35">
      <c r="A563" s="1" t="s">
        <v>431</v>
      </c>
      <c r="B563" s="1" t="s">
        <v>19</v>
      </c>
      <c r="C563">
        <v>48.5</v>
      </c>
      <c r="D563">
        <v>5</v>
      </c>
      <c r="E563" s="1" t="s">
        <v>51</v>
      </c>
      <c r="F563">
        <v>1</v>
      </c>
      <c r="G563" s="1" t="s">
        <v>40</v>
      </c>
    </row>
    <row r="564" spans="1:7" x14ac:dyDescent="0.35">
      <c r="A564" s="1" t="s">
        <v>424</v>
      </c>
      <c r="B564" s="1" t="s">
        <v>26</v>
      </c>
      <c r="C564">
        <v>59.46</v>
      </c>
      <c r="D564">
        <v>3</v>
      </c>
      <c r="E564" s="1" t="s">
        <v>51</v>
      </c>
      <c r="F564">
        <v>7</v>
      </c>
      <c r="G564" s="1" t="s">
        <v>41</v>
      </c>
    </row>
    <row r="565" spans="1:7" x14ac:dyDescent="0.35">
      <c r="A565" s="1" t="s">
        <v>432</v>
      </c>
      <c r="B565" s="1" t="s">
        <v>27</v>
      </c>
      <c r="C565">
        <v>38.72</v>
      </c>
      <c r="D565">
        <v>3</v>
      </c>
      <c r="E565" s="1" t="s">
        <v>51</v>
      </c>
      <c r="F565">
        <v>6</v>
      </c>
      <c r="G565" s="1" t="s">
        <v>41</v>
      </c>
    </row>
    <row r="566" spans="1:7" x14ac:dyDescent="0.35">
      <c r="A566" s="1" t="s">
        <v>433</v>
      </c>
      <c r="B566" s="1" t="s">
        <v>8</v>
      </c>
      <c r="C566">
        <v>24.48</v>
      </c>
      <c r="D566">
        <v>4</v>
      </c>
      <c r="E566" s="1" t="s">
        <v>51</v>
      </c>
      <c r="F566">
        <v>3</v>
      </c>
      <c r="G566" s="1" t="s">
        <v>40</v>
      </c>
    </row>
    <row r="567" spans="1:7" x14ac:dyDescent="0.35">
      <c r="A567" s="1" t="s">
        <v>434</v>
      </c>
      <c r="B567" s="1" t="s">
        <v>10</v>
      </c>
      <c r="C567">
        <v>27.11</v>
      </c>
      <c r="D567">
        <v>1</v>
      </c>
      <c r="E567" s="1" t="s">
        <v>51</v>
      </c>
      <c r="F567">
        <v>22</v>
      </c>
      <c r="G567" s="1" t="s">
        <v>42</v>
      </c>
    </row>
    <row r="568" spans="1:7" x14ac:dyDescent="0.35">
      <c r="A568" s="1" t="s">
        <v>435</v>
      </c>
      <c r="B568" s="1" t="s">
        <v>28</v>
      </c>
      <c r="C568">
        <v>25.32</v>
      </c>
      <c r="D568">
        <v>5</v>
      </c>
      <c r="E568" s="1" t="s">
        <v>51</v>
      </c>
      <c r="F568">
        <v>21</v>
      </c>
      <c r="G568" s="1" t="s">
        <v>43</v>
      </c>
    </row>
    <row r="569" spans="1:7" x14ac:dyDescent="0.35">
      <c r="A569" s="1" t="s">
        <v>436</v>
      </c>
      <c r="B569" s="1" t="s">
        <v>26</v>
      </c>
      <c r="C569">
        <v>15.56</v>
      </c>
      <c r="D569">
        <v>4</v>
      </c>
      <c r="E569" s="1" t="s">
        <v>51</v>
      </c>
      <c r="F569">
        <v>17</v>
      </c>
      <c r="G569" s="1" t="s">
        <v>43</v>
      </c>
    </row>
    <row r="570" spans="1:7" x14ac:dyDescent="0.35">
      <c r="A570" s="1" t="s">
        <v>422</v>
      </c>
      <c r="B570" s="1" t="s">
        <v>8</v>
      </c>
      <c r="C570">
        <v>2.2999999999999998</v>
      </c>
      <c r="D570">
        <v>4</v>
      </c>
      <c r="E570" s="1" t="s">
        <v>51</v>
      </c>
      <c r="F570">
        <v>12</v>
      </c>
      <c r="G570" s="1" t="s">
        <v>43</v>
      </c>
    </row>
    <row r="571" spans="1:7" x14ac:dyDescent="0.35">
      <c r="A571" s="1" t="s">
        <v>437</v>
      </c>
      <c r="B571" s="1" t="s">
        <v>26</v>
      </c>
      <c r="C571">
        <v>40.799999999999997</v>
      </c>
      <c r="D571">
        <v>3</v>
      </c>
      <c r="E571" s="1" t="s">
        <v>51</v>
      </c>
      <c r="F571">
        <v>17</v>
      </c>
      <c r="G571" s="1" t="s">
        <v>42</v>
      </c>
    </row>
    <row r="572" spans="1:7" x14ac:dyDescent="0.35">
      <c r="A572" s="1" t="s">
        <v>438</v>
      </c>
      <c r="B572" s="1" t="s">
        <v>13</v>
      </c>
      <c r="C572">
        <v>46.64</v>
      </c>
      <c r="D572">
        <v>5</v>
      </c>
      <c r="E572" s="1" t="s">
        <v>68</v>
      </c>
      <c r="F572">
        <v>1</v>
      </c>
      <c r="G572" s="1" t="s">
        <v>40</v>
      </c>
    </row>
    <row r="573" spans="1:7" x14ac:dyDescent="0.35">
      <c r="A573" s="1" t="s">
        <v>439</v>
      </c>
      <c r="B573" s="1" t="s">
        <v>25</v>
      </c>
      <c r="C573">
        <v>6.35</v>
      </c>
      <c r="D573">
        <v>3</v>
      </c>
      <c r="E573" s="1" t="s">
        <v>51</v>
      </c>
      <c r="F573">
        <v>12</v>
      </c>
      <c r="G573" s="1" t="s">
        <v>42</v>
      </c>
    </row>
    <row r="574" spans="1:7" x14ac:dyDescent="0.35">
      <c r="A574" s="1" t="s">
        <v>429</v>
      </c>
      <c r="B574" s="1" t="s">
        <v>29</v>
      </c>
      <c r="C574">
        <v>34.51</v>
      </c>
      <c r="D574">
        <v>4</v>
      </c>
      <c r="E574" s="1" t="s">
        <v>51</v>
      </c>
      <c r="F574">
        <v>6</v>
      </c>
      <c r="G574" s="1" t="s">
        <v>40</v>
      </c>
    </row>
    <row r="575" spans="1:7" x14ac:dyDescent="0.35">
      <c r="A575" s="1" t="s">
        <v>440</v>
      </c>
      <c r="B575" s="1" t="s">
        <v>23</v>
      </c>
      <c r="C575">
        <v>56.17</v>
      </c>
      <c r="D575">
        <v>5</v>
      </c>
      <c r="E575" s="1" t="s">
        <v>51</v>
      </c>
      <c r="F575">
        <v>4</v>
      </c>
      <c r="G575" s="1" t="s">
        <v>40</v>
      </c>
    </row>
    <row r="576" spans="1:7" x14ac:dyDescent="0.35">
      <c r="A576" s="1" t="s">
        <v>441</v>
      </c>
      <c r="B576" s="1" t="s">
        <v>15</v>
      </c>
      <c r="C576">
        <v>40.450000000000003</v>
      </c>
      <c r="D576">
        <v>2</v>
      </c>
      <c r="E576" s="1" t="s">
        <v>51</v>
      </c>
      <c r="F576">
        <v>5</v>
      </c>
      <c r="G576" s="1" t="s">
        <v>41</v>
      </c>
    </row>
    <row r="577" spans="1:7" x14ac:dyDescent="0.35">
      <c r="A577" s="1" t="s">
        <v>426</v>
      </c>
      <c r="B577" s="1" t="s">
        <v>14</v>
      </c>
      <c r="C577">
        <v>42.42</v>
      </c>
      <c r="D577">
        <v>4</v>
      </c>
      <c r="E577" s="1" t="s">
        <v>51</v>
      </c>
      <c r="F577">
        <v>21</v>
      </c>
      <c r="G577" s="1" t="s">
        <v>43</v>
      </c>
    </row>
    <row r="578" spans="1:7" x14ac:dyDescent="0.35">
      <c r="A578" s="1" t="s">
        <v>428</v>
      </c>
      <c r="B578" s="1" t="s">
        <v>26</v>
      </c>
      <c r="C578">
        <v>4.25</v>
      </c>
      <c r="D578">
        <v>5</v>
      </c>
      <c r="E578" s="1" t="s">
        <v>51</v>
      </c>
      <c r="F578">
        <v>3</v>
      </c>
      <c r="G578" s="1" t="s">
        <v>40</v>
      </c>
    </row>
    <row r="579" spans="1:7" x14ac:dyDescent="0.35">
      <c r="A579" s="1" t="s">
        <v>423</v>
      </c>
      <c r="B579" s="1" t="s">
        <v>8</v>
      </c>
      <c r="C579">
        <v>31.01</v>
      </c>
      <c r="D579">
        <v>4</v>
      </c>
      <c r="E579" s="1" t="s">
        <v>51</v>
      </c>
      <c r="F579">
        <v>7</v>
      </c>
      <c r="G579" s="1" t="s">
        <v>40</v>
      </c>
    </row>
    <row r="580" spans="1:7" x14ac:dyDescent="0.35">
      <c r="A580" s="1" t="s">
        <v>442</v>
      </c>
      <c r="B580" s="1" t="s">
        <v>19</v>
      </c>
      <c r="C580">
        <v>20.51</v>
      </c>
      <c r="D580">
        <v>3</v>
      </c>
      <c r="E580" s="1" t="s">
        <v>51</v>
      </c>
      <c r="F580">
        <v>8</v>
      </c>
      <c r="G580" s="1" t="s">
        <v>41</v>
      </c>
    </row>
    <row r="581" spans="1:7" x14ac:dyDescent="0.35">
      <c r="A581" s="1" t="s">
        <v>442</v>
      </c>
      <c r="B581" s="1" t="s">
        <v>1</v>
      </c>
      <c r="C581">
        <v>49.58</v>
      </c>
      <c r="D581">
        <v>4</v>
      </c>
      <c r="E581" s="1" t="s">
        <v>68</v>
      </c>
      <c r="F581">
        <v>7</v>
      </c>
      <c r="G581" s="1" t="s">
        <v>40</v>
      </c>
    </row>
    <row r="582" spans="1:7" x14ac:dyDescent="0.35">
      <c r="A582" s="1" t="s">
        <v>443</v>
      </c>
      <c r="B582" s="1" t="s">
        <v>12</v>
      </c>
      <c r="C582">
        <v>57.35</v>
      </c>
      <c r="D582">
        <v>5</v>
      </c>
      <c r="E582" s="1" t="s">
        <v>51</v>
      </c>
      <c r="F582">
        <v>10</v>
      </c>
      <c r="G582" s="1" t="s">
        <v>40</v>
      </c>
    </row>
    <row r="583" spans="1:7" x14ac:dyDescent="0.35">
      <c r="A583" s="1" t="s">
        <v>436</v>
      </c>
      <c r="B583" s="1" t="s">
        <v>8</v>
      </c>
      <c r="C583">
        <v>5.93</v>
      </c>
      <c r="D583">
        <v>4</v>
      </c>
      <c r="E583" s="1" t="s">
        <v>51</v>
      </c>
      <c r="F583">
        <v>14</v>
      </c>
      <c r="G583" s="1" t="s">
        <v>43</v>
      </c>
    </row>
    <row r="584" spans="1:7" x14ac:dyDescent="0.35">
      <c r="A584" s="1" t="s">
        <v>443</v>
      </c>
      <c r="B584" s="1" t="s">
        <v>28</v>
      </c>
      <c r="C584">
        <v>54.18</v>
      </c>
      <c r="D584">
        <v>2</v>
      </c>
      <c r="E584" s="1" t="s">
        <v>51</v>
      </c>
      <c r="F584">
        <v>10</v>
      </c>
      <c r="G584" s="1" t="s">
        <v>41</v>
      </c>
    </row>
    <row r="585" spans="1:7" x14ac:dyDescent="0.35">
      <c r="A585" s="1" t="s">
        <v>441</v>
      </c>
      <c r="B585" s="1" t="s">
        <v>3</v>
      </c>
      <c r="C585">
        <v>37.49</v>
      </c>
      <c r="D585">
        <v>3</v>
      </c>
      <c r="E585" s="1" t="s">
        <v>61</v>
      </c>
      <c r="F585">
        <v>0</v>
      </c>
      <c r="G585" s="1" t="s">
        <v>41</v>
      </c>
    </row>
    <row r="586" spans="1:7" x14ac:dyDescent="0.35">
      <c r="A586" s="1" t="s">
        <v>442</v>
      </c>
      <c r="B586" s="1" t="s">
        <v>18</v>
      </c>
      <c r="C586">
        <v>23.77</v>
      </c>
      <c r="D586">
        <v>4</v>
      </c>
      <c r="E586" s="1" t="s">
        <v>51</v>
      </c>
      <c r="F586">
        <v>8</v>
      </c>
      <c r="G586" s="1" t="s">
        <v>40</v>
      </c>
    </row>
    <row r="587" spans="1:7" x14ac:dyDescent="0.35">
      <c r="A587" s="1" t="s">
        <v>444</v>
      </c>
      <c r="B587" s="1" t="s">
        <v>3</v>
      </c>
      <c r="C587">
        <v>26.47</v>
      </c>
      <c r="D587">
        <v>3</v>
      </c>
      <c r="E587" s="1" t="s">
        <v>51</v>
      </c>
      <c r="F587">
        <v>14</v>
      </c>
      <c r="G587" s="1" t="s">
        <v>42</v>
      </c>
    </row>
    <row r="588" spans="1:7" x14ac:dyDescent="0.35">
      <c r="A588" s="1" t="s">
        <v>445</v>
      </c>
      <c r="B588" s="1" t="s">
        <v>28</v>
      </c>
      <c r="C588">
        <v>15.51</v>
      </c>
      <c r="D588">
        <v>5</v>
      </c>
      <c r="E588" s="1" t="s">
        <v>51</v>
      </c>
      <c r="F588">
        <v>22</v>
      </c>
      <c r="G588" s="1" t="s">
        <v>43</v>
      </c>
    </row>
    <row r="589" spans="1:7" x14ac:dyDescent="0.35">
      <c r="A589" s="1" t="s">
        <v>428</v>
      </c>
      <c r="B589" s="1" t="s">
        <v>17</v>
      </c>
      <c r="C589">
        <v>33.54</v>
      </c>
      <c r="D589">
        <v>3</v>
      </c>
      <c r="E589" s="1" t="s">
        <v>51</v>
      </c>
      <c r="F589">
        <v>17</v>
      </c>
      <c r="G589" s="1" t="s">
        <v>42</v>
      </c>
    </row>
    <row r="590" spans="1:7" x14ac:dyDescent="0.35">
      <c r="A590" s="1" t="s">
        <v>439</v>
      </c>
      <c r="B590" s="1" t="s">
        <v>30</v>
      </c>
      <c r="C590">
        <v>55.93</v>
      </c>
      <c r="D590">
        <v>3</v>
      </c>
      <c r="E590" s="1" t="s">
        <v>61</v>
      </c>
      <c r="F590">
        <v>0</v>
      </c>
      <c r="G590" s="1" t="s">
        <v>41</v>
      </c>
    </row>
    <row r="591" spans="1:7" x14ac:dyDescent="0.35">
      <c r="A591" s="1" t="s">
        <v>446</v>
      </c>
      <c r="B591" s="1" t="s">
        <v>21</v>
      </c>
      <c r="C591">
        <v>37.76</v>
      </c>
      <c r="D591">
        <v>3</v>
      </c>
      <c r="E591" s="1" t="s">
        <v>68</v>
      </c>
      <c r="F591">
        <v>15</v>
      </c>
      <c r="G591" s="1" t="s">
        <v>42</v>
      </c>
    </row>
    <row r="592" spans="1:7" x14ac:dyDescent="0.35">
      <c r="A592" s="1" t="s">
        <v>433</v>
      </c>
      <c r="B592" s="1" t="s">
        <v>15</v>
      </c>
      <c r="C592">
        <v>40.159999999999997</v>
      </c>
      <c r="D592">
        <v>2</v>
      </c>
      <c r="E592" s="1" t="s">
        <v>51</v>
      </c>
      <c r="F592">
        <v>2</v>
      </c>
      <c r="G592" s="1" t="s">
        <v>41</v>
      </c>
    </row>
    <row r="593" spans="1:7" x14ac:dyDescent="0.35">
      <c r="A593" s="1" t="s">
        <v>447</v>
      </c>
      <c r="B593" s="1" t="s">
        <v>29</v>
      </c>
      <c r="C593">
        <v>22.82</v>
      </c>
      <c r="D593">
        <v>3</v>
      </c>
      <c r="E593" s="1" t="s">
        <v>51</v>
      </c>
      <c r="F593">
        <v>22</v>
      </c>
      <c r="G593" s="1" t="s">
        <v>42</v>
      </c>
    </row>
    <row r="594" spans="1:7" x14ac:dyDescent="0.35">
      <c r="A594" s="1" t="s">
        <v>448</v>
      </c>
      <c r="B594" s="1" t="s">
        <v>6</v>
      </c>
      <c r="C594">
        <v>15.91</v>
      </c>
      <c r="D594">
        <v>4</v>
      </c>
      <c r="E594" s="1" t="s">
        <v>61</v>
      </c>
      <c r="F594">
        <v>0</v>
      </c>
      <c r="G594" s="1" t="s">
        <v>40</v>
      </c>
    </row>
    <row r="595" spans="1:7" x14ac:dyDescent="0.35">
      <c r="A595" s="1" t="s">
        <v>440</v>
      </c>
      <c r="B595" s="1" t="s">
        <v>16</v>
      </c>
      <c r="C595">
        <v>37.82</v>
      </c>
      <c r="D595">
        <v>5</v>
      </c>
      <c r="E595" s="1" t="s">
        <v>51</v>
      </c>
      <c r="F595">
        <v>13</v>
      </c>
      <c r="G595" s="1" t="s">
        <v>43</v>
      </c>
    </row>
    <row r="596" spans="1:7" x14ac:dyDescent="0.35">
      <c r="A596" s="1" t="s">
        <v>426</v>
      </c>
      <c r="B596" s="1" t="s">
        <v>27</v>
      </c>
      <c r="C596">
        <v>54.88</v>
      </c>
      <c r="D596">
        <v>5</v>
      </c>
      <c r="E596" s="1" t="s">
        <v>51</v>
      </c>
      <c r="F596">
        <v>22</v>
      </c>
      <c r="G596" s="1" t="s">
        <v>43</v>
      </c>
    </row>
    <row r="597" spans="1:7" x14ac:dyDescent="0.35">
      <c r="A597" s="1" t="s">
        <v>448</v>
      </c>
      <c r="B597" s="1" t="s">
        <v>16</v>
      </c>
      <c r="C597">
        <v>37.42</v>
      </c>
      <c r="D597">
        <v>3</v>
      </c>
      <c r="E597" s="1" t="s">
        <v>51</v>
      </c>
      <c r="F597">
        <v>15</v>
      </c>
      <c r="G597" s="1" t="s">
        <v>42</v>
      </c>
    </row>
    <row r="598" spans="1:7" x14ac:dyDescent="0.35">
      <c r="A598" s="1" t="s">
        <v>449</v>
      </c>
      <c r="B598" s="1" t="s">
        <v>18</v>
      </c>
      <c r="C598">
        <v>32.229999999999997</v>
      </c>
      <c r="D598">
        <v>4</v>
      </c>
      <c r="E598" s="1" t="s">
        <v>51</v>
      </c>
      <c r="F598">
        <v>16</v>
      </c>
      <c r="G598" s="1" t="s">
        <v>43</v>
      </c>
    </row>
    <row r="599" spans="1:7" x14ac:dyDescent="0.35">
      <c r="A599" s="1" t="s">
        <v>450</v>
      </c>
      <c r="B599" s="1" t="s">
        <v>8</v>
      </c>
      <c r="C599">
        <v>51.06</v>
      </c>
      <c r="D599">
        <v>5</v>
      </c>
      <c r="E599" s="1" t="s">
        <v>51</v>
      </c>
      <c r="F599">
        <v>13</v>
      </c>
      <c r="G599" s="1" t="s">
        <v>43</v>
      </c>
    </row>
    <row r="600" spans="1:7" x14ac:dyDescent="0.35">
      <c r="A600" s="1" t="s">
        <v>424</v>
      </c>
      <c r="B600" s="1" t="s">
        <v>11</v>
      </c>
      <c r="C600">
        <v>4.5599999999999996</v>
      </c>
      <c r="D600">
        <v>5</v>
      </c>
      <c r="E600" s="1" t="s">
        <v>51</v>
      </c>
      <c r="F600">
        <v>22</v>
      </c>
      <c r="G600" s="1" t="s">
        <v>43</v>
      </c>
    </row>
    <row r="601" spans="1:7" x14ac:dyDescent="0.35">
      <c r="A601" s="1" t="s">
        <v>451</v>
      </c>
      <c r="B601" s="1" t="s">
        <v>25</v>
      </c>
      <c r="C601">
        <v>18.71</v>
      </c>
      <c r="D601">
        <v>4</v>
      </c>
      <c r="E601" s="1" t="s">
        <v>51</v>
      </c>
      <c r="F601">
        <v>7</v>
      </c>
      <c r="G601" s="1" t="s">
        <v>40</v>
      </c>
    </row>
    <row r="602" spans="1:7" x14ac:dyDescent="0.35">
      <c r="A602" s="1" t="s">
        <v>452</v>
      </c>
      <c r="B602" s="1" t="s">
        <v>2</v>
      </c>
      <c r="C602">
        <v>19.68</v>
      </c>
      <c r="D602">
        <v>5</v>
      </c>
      <c r="E602" s="1" t="s">
        <v>51</v>
      </c>
      <c r="F602">
        <v>13</v>
      </c>
      <c r="G602" s="1" t="s">
        <v>43</v>
      </c>
    </row>
    <row r="603" spans="1:7" x14ac:dyDescent="0.35">
      <c r="A603" s="1" t="s">
        <v>453</v>
      </c>
      <c r="B603" s="1" t="s">
        <v>28</v>
      </c>
      <c r="C603">
        <v>29.7</v>
      </c>
      <c r="D603">
        <v>5</v>
      </c>
      <c r="E603" s="1" t="s">
        <v>51</v>
      </c>
      <c r="F603">
        <v>6</v>
      </c>
      <c r="G603" s="1" t="s">
        <v>40</v>
      </c>
    </row>
    <row r="604" spans="1:7" x14ac:dyDescent="0.35">
      <c r="A604" s="1" t="s">
        <v>454</v>
      </c>
      <c r="B604" s="1" t="s">
        <v>13</v>
      </c>
      <c r="C604">
        <v>26.31</v>
      </c>
      <c r="D604">
        <v>2</v>
      </c>
      <c r="E604" s="1" t="s">
        <v>51</v>
      </c>
      <c r="F604">
        <v>10</v>
      </c>
      <c r="G604" s="1" t="s">
        <v>41</v>
      </c>
    </row>
    <row r="605" spans="1:7" x14ac:dyDescent="0.35">
      <c r="A605" s="1" t="s">
        <v>455</v>
      </c>
      <c r="B605" s="1" t="s">
        <v>12</v>
      </c>
      <c r="C605">
        <v>33.74</v>
      </c>
      <c r="D605">
        <v>4</v>
      </c>
      <c r="E605" s="1" t="s">
        <v>51</v>
      </c>
      <c r="F605">
        <v>7</v>
      </c>
      <c r="G605" s="1" t="s">
        <v>40</v>
      </c>
    </row>
    <row r="606" spans="1:7" x14ac:dyDescent="0.35">
      <c r="A606" s="1" t="s">
        <v>456</v>
      </c>
      <c r="B606" s="1" t="s">
        <v>24</v>
      </c>
      <c r="C606">
        <v>29.96</v>
      </c>
      <c r="D606">
        <v>4</v>
      </c>
      <c r="E606" s="1" t="s">
        <v>68</v>
      </c>
      <c r="F606">
        <v>9</v>
      </c>
      <c r="G606" s="1" t="s">
        <v>40</v>
      </c>
    </row>
    <row r="607" spans="1:7" x14ac:dyDescent="0.35">
      <c r="A607" s="1" t="s">
        <v>452</v>
      </c>
      <c r="B607" s="1" t="s">
        <v>17</v>
      </c>
      <c r="C607">
        <v>36.68</v>
      </c>
      <c r="D607">
        <v>4</v>
      </c>
      <c r="E607" s="1" t="s">
        <v>51</v>
      </c>
      <c r="F607">
        <v>21</v>
      </c>
      <c r="G607" s="1" t="s">
        <v>43</v>
      </c>
    </row>
    <row r="608" spans="1:7" x14ac:dyDescent="0.35">
      <c r="A608" s="1" t="s">
        <v>457</v>
      </c>
      <c r="B608" s="1" t="s">
        <v>18</v>
      </c>
      <c r="C608">
        <v>45.97</v>
      </c>
      <c r="D608">
        <v>2</v>
      </c>
      <c r="E608" s="1" t="s">
        <v>51</v>
      </c>
      <c r="F608">
        <v>5</v>
      </c>
      <c r="G608" s="1" t="s">
        <v>41</v>
      </c>
    </row>
    <row r="609" spans="1:7" x14ac:dyDescent="0.35">
      <c r="A609" s="1" t="s">
        <v>453</v>
      </c>
      <c r="B609" s="1" t="s">
        <v>5</v>
      </c>
      <c r="C609">
        <v>19.600000000000001</v>
      </c>
      <c r="D609">
        <v>5</v>
      </c>
      <c r="E609" s="1" t="s">
        <v>51</v>
      </c>
      <c r="F609">
        <v>21</v>
      </c>
      <c r="G609" s="1" t="s">
        <v>43</v>
      </c>
    </row>
    <row r="610" spans="1:7" x14ac:dyDescent="0.35">
      <c r="A610" s="1" t="s">
        <v>457</v>
      </c>
      <c r="B610" s="1" t="s">
        <v>8</v>
      </c>
      <c r="C610">
        <v>56.46</v>
      </c>
      <c r="D610">
        <v>3</v>
      </c>
      <c r="E610" s="1" t="s">
        <v>51</v>
      </c>
      <c r="F610">
        <v>12</v>
      </c>
      <c r="G610" s="1" t="s">
        <v>42</v>
      </c>
    </row>
    <row r="611" spans="1:7" x14ac:dyDescent="0.35">
      <c r="A611" s="1" t="s">
        <v>458</v>
      </c>
      <c r="B611" s="1" t="s">
        <v>18</v>
      </c>
      <c r="C611">
        <v>41.32</v>
      </c>
      <c r="D611">
        <v>1</v>
      </c>
      <c r="E611" s="1" t="s">
        <v>51</v>
      </c>
      <c r="F611">
        <v>8</v>
      </c>
      <c r="G611" s="1" t="s">
        <v>41</v>
      </c>
    </row>
    <row r="612" spans="1:7" x14ac:dyDescent="0.35">
      <c r="A612" s="1" t="s">
        <v>459</v>
      </c>
      <c r="B612" s="1" t="s">
        <v>28</v>
      </c>
      <c r="C612">
        <v>35.78</v>
      </c>
      <c r="D612">
        <v>3</v>
      </c>
      <c r="E612" s="1" t="s">
        <v>51</v>
      </c>
      <c r="F612">
        <v>1</v>
      </c>
      <c r="G612" s="1" t="s">
        <v>41</v>
      </c>
    </row>
    <row r="613" spans="1:7" x14ac:dyDescent="0.35">
      <c r="A613" s="1" t="s">
        <v>453</v>
      </c>
      <c r="B613" s="1" t="s">
        <v>28</v>
      </c>
      <c r="C613">
        <v>20.29</v>
      </c>
      <c r="D613">
        <v>3</v>
      </c>
      <c r="E613" s="1" t="s">
        <v>51</v>
      </c>
      <c r="F613">
        <v>10</v>
      </c>
      <c r="G613" s="1" t="s">
        <v>41</v>
      </c>
    </row>
    <row r="614" spans="1:7" x14ac:dyDescent="0.35">
      <c r="A614" s="1" t="s">
        <v>460</v>
      </c>
      <c r="B614" s="1" t="s">
        <v>14</v>
      </c>
      <c r="C614">
        <v>49.25</v>
      </c>
      <c r="D614">
        <v>4</v>
      </c>
      <c r="E614" s="1" t="s">
        <v>51</v>
      </c>
      <c r="F614">
        <v>21</v>
      </c>
      <c r="G614" s="1" t="s">
        <v>43</v>
      </c>
    </row>
    <row r="615" spans="1:7" x14ac:dyDescent="0.35">
      <c r="A615" s="1" t="s">
        <v>461</v>
      </c>
      <c r="B615" s="1" t="s">
        <v>20</v>
      </c>
      <c r="C615">
        <v>36.200000000000003</v>
      </c>
      <c r="D615">
        <v>5</v>
      </c>
      <c r="E615" s="1" t="s">
        <v>51</v>
      </c>
      <c r="F615">
        <v>8</v>
      </c>
      <c r="G615" s="1" t="s">
        <v>40</v>
      </c>
    </row>
    <row r="616" spans="1:7" x14ac:dyDescent="0.35">
      <c r="A616" s="1" t="s">
        <v>462</v>
      </c>
      <c r="B616" s="1" t="s">
        <v>21</v>
      </c>
      <c r="C616">
        <v>5.49</v>
      </c>
      <c r="D616">
        <v>4</v>
      </c>
      <c r="E616" s="1" t="s">
        <v>51</v>
      </c>
      <c r="F616">
        <v>2</v>
      </c>
      <c r="G616" s="1" t="s">
        <v>40</v>
      </c>
    </row>
    <row r="617" spans="1:7" x14ac:dyDescent="0.35">
      <c r="A617" s="1" t="s">
        <v>463</v>
      </c>
      <c r="B617" s="1" t="s">
        <v>6</v>
      </c>
      <c r="C617">
        <v>53.29</v>
      </c>
      <c r="D617">
        <v>4</v>
      </c>
      <c r="E617" s="1" t="s">
        <v>51</v>
      </c>
      <c r="F617">
        <v>1</v>
      </c>
      <c r="G617" s="1" t="s">
        <v>40</v>
      </c>
    </row>
    <row r="618" spans="1:7" x14ac:dyDescent="0.35">
      <c r="A618" s="1" t="s">
        <v>464</v>
      </c>
      <c r="B618" s="1" t="s">
        <v>7</v>
      </c>
      <c r="C618">
        <v>43.41</v>
      </c>
      <c r="D618">
        <v>3</v>
      </c>
      <c r="E618" s="1" t="s">
        <v>51</v>
      </c>
      <c r="F618">
        <v>22</v>
      </c>
      <c r="G618" s="1" t="s">
        <v>42</v>
      </c>
    </row>
    <row r="619" spans="1:7" x14ac:dyDescent="0.35">
      <c r="A619" s="1" t="s">
        <v>456</v>
      </c>
      <c r="B619" s="1" t="s">
        <v>9</v>
      </c>
      <c r="C619">
        <v>49.41</v>
      </c>
      <c r="D619">
        <v>4</v>
      </c>
      <c r="E619" s="1" t="s">
        <v>51</v>
      </c>
      <c r="F619">
        <v>12</v>
      </c>
      <c r="G619" s="1" t="s">
        <v>43</v>
      </c>
    </row>
    <row r="620" spans="1:7" x14ac:dyDescent="0.35">
      <c r="A620" s="1" t="s">
        <v>465</v>
      </c>
      <c r="B620" s="1" t="s">
        <v>12</v>
      </c>
      <c r="C620">
        <v>53.19</v>
      </c>
      <c r="D620">
        <v>3</v>
      </c>
      <c r="E620" s="1" t="s">
        <v>51</v>
      </c>
      <c r="F620">
        <v>15</v>
      </c>
      <c r="G620" s="1" t="s">
        <v>42</v>
      </c>
    </row>
    <row r="621" spans="1:7" x14ac:dyDescent="0.35">
      <c r="A621" s="1" t="s">
        <v>466</v>
      </c>
      <c r="B621" s="1" t="s">
        <v>22</v>
      </c>
      <c r="C621">
        <v>5.82</v>
      </c>
      <c r="D621">
        <v>4</v>
      </c>
      <c r="E621" s="1" t="s">
        <v>51</v>
      </c>
      <c r="F621">
        <v>17</v>
      </c>
      <c r="G621" s="1" t="s">
        <v>43</v>
      </c>
    </row>
    <row r="622" spans="1:7" x14ac:dyDescent="0.35">
      <c r="A622" s="1" t="s">
        <v>467</v>
      </c>
      <c r="B622" s="1" t="s">
        <v>10</v>
      </c>
      <c r="C622">
        <v>35.04</v>
      </c>
      <c r="D622">
        <v>5</v>
      </c>
      <c r="E622" s="1" t="s">
        <v>51</v>
      </c>
      <c r="F622">
        <v>4</v>
      </c>
      <c r="G622" s="1" t="s">
        <v>40</v>
      </c>
    </row>
    <row r="623" spans="1:7" x14ac:dyDescent="0.35">
      <c r="A623" s="1" t="s">
        <v>468</v>
      </c>
      <c r="B623" s="1" t="s">
        <v>18</v>
      </c>
      <c r="C623">
        <v>6.7</v>
      </c>
      <c r="D623">
        <v>5</v>
      </c>
      <c r="E623" s="1" t="s">
        <v>51</v>
      </c>
      <c r="F623">
        <v>1</v>
      </c>
      <c r="G623" s="1" t="s">
        <v>40</v>
      </c>
    </row>
    <row r="624" spans="1:7" x14ac:dyDescent="0.35">
      <c r="A624" s="1" t="s">
        <v>469</v>
      </c>
      <c r="B624" s="1" t="s">
        <v>18</v>
      </c>
      <c r="C624">
        <v>37.270000000000003</v>
      </c>
      <c r="D624">
        <v>1</v>
      </c>
      <c r="E624" s="1" t="s">
        <v>51</v>
      </c>
      <c r="F624">
        <v>2</v>
      </c>
      <c r="G624" s="1" t="s">
        <v>41</v>
      </c>
    </row>
    <row r="625" spans="1:7" x14ac:dyDescent="0.35">
      <c r="A625" s="1" t="s">
        <v>465</v>
      </c>
      <c r="B625" s="1" t="s">
        <v>27</v>
      </c>
      <c r="C625">
        <v>29.01</v>
      </c>
      <c r="D625">
        <v>4</v>
      </c>
      <c r="E625" s="1" t="s">
        <v>51</v>
      </c>
      <c r="F625">
        <v>21</v>
      </c>
      <c r="G625" s="1" t="s">
        <v>43</v>
      </c>
    </row>
    <row r="626" spans="1:7" x14ac:dyDescent="0.35">
      <c r="A626" s="1" t="s">
        <v>470</v>
      </c>
      <c r="B626" s="1" t="s">
        <v>9</v>
      </c>
      <c r="C626">
        <v>5.08</v>
      </c>
      <c r="D626">
        <v>3</v>
      </c>
      <c r="E626" s="1" t="s">
        <v>51</v>
      </c>
      <c r="F626">
        <v>19</v>
      </c>
      <c r="G626" s="1" t="s">
        <v>42</v>
      </c>
    </row>
    <row r="627" spans="1:7" x14ac:dyDescent="0.35">
      <c r="A627" s="1" t="s">
        <v>471</v>
      </c>
      <c r="B627" s="1" t="s">
        <v>25</v>
      </c>
      <c r="C627">
        <v>15.69</v>
      </c>
      <c r="D627">
        <v>4</v>
      </c>
      <c r="E627" s="1" t="s">
        <v>51</v>
      </c>
      <c r="F627">
        <v>21</v>
      </c>
      <c r="G627" s="1" t="s">
        <v>43</v>
      </c>
    </row>
    <row r="628" spans="1:7" x14ac:dyDescent="0.35">
      <c r="A628" s="1" t="s">
        <v>466</v>
      </c>
      <c r="B628" s="1" t="s">
        <v>9</v>
      </c>
      <c r="C628">
        <v>30.27</v>
      </c>
      <c r="D628">
        <v>5</v>
      </c>
      <c r="E628" s="1" t="s">
        <v>51</v>
      </c>
      <c r="F628">
        <v>17</v>
      </c>
      <c r="G628" s="1" t="s">
        <v>43</v>
      </c>
    </row>
    <row r="629" spans="1:7" x14ac:dyDescent="0.35">
      <c r="A629" s="1" t="s">
        <v>472</v>
      </c>
      <c r="B629" s="1" t="s">
        <v>3</v>
      </c>
      <c r="C629">
        <v>10.56</v>
      </c>
      <c r="D629">
        <v>4</v>
      </c>
      <c r="E629" s="1" t="s">
        <v>51</v>
      </c>
      <c r="F629">
        <v>15</v>
      </c>
      <c r="G629" s="1" t="s">
        <v>43</v>
      </c>
    </row>
    <row r="630" spans="1:7" x14ac:dyDescent="0.35">
      <c r="A630" s="1" t="s">
        <v>453</v>
      </c>
      <c r="B630" s="1" t="s">
        <v>24</v>
      </c>
      <c r="C630">
        <v>40.28</v>
      </c>
      <c r="D630">
        <v>4</v>
      </c>
      <c r="E630" s="1" t="s">
        <v>51</v>
      </c>
      <c r="F630">
        <v>5</v>
      </c>
      <c r="G630" s="1" t="s">
        <v>40</v>
      </c>
    </row>
    <row r="631" spans="1:7" x14ac:dyDescent="0.35">
      <c r="A631" s="1" t="s">
        <v>473</v>
      </c>
      <c r="B631" s="1" t="s">
        <v>25</v>
      </c>
      <c r="C631">
        <v>31.28</v>
      </c>
      <c r="D631">
        <v>5</v>
      </c>
      <c r="E631" s="1" t="s">
        <v>51</v>
      </c>
      <c r="F631">
        <v>8</v>
      </c>
      <c r="G631" s="1" t="s">
        <v>40</v>
      </c>
    </row>
    <row r="632" spans="1:7" x14ac:dyDescent="0.35">
      <c r="A632" s="1" t="s">
        <v>466</v>
      </c>
      <c r="B632" s="1" t="s">
        <v>16</v>
      </c>
      <c r="C632">
        <v>8.51</v>
      </c>
      <c r="D632">
        <v>4</v>
      </c>
      <c r="E632" s="1" t="s">
        <v>51</v>
      </c>
      <c r="F632">
        <v>14</v>
      </c>
      <c r="G632" s="1" t="s">
        <v>43</v>
      </c>
    </row>
    <row r="633" spans="1:7" x14ac:dyDescent="0.35">
      <c r="A633" s="1" t="s">
        <v>474</v>
      </c>
      <c r="B633" s="1" t="s">
        <v>2</v>
      </c>
      <c r="C633">
        <v>59.2</v>
      </c>
      <c r="D633">
        <v>3</v>
      </c>
      <c r="E633" s="1" t="s">
        <v>68</v>
      </c>
      <c r="F633">
        <v>20</v>
      </c>
      <c r="G633" s="1" t="s">
        <v>42</v>
      </c>
    </row>
    <row r="634" spans="1:7" x14ac:dyDescent="0.35">
      <c r="A634" s="1" t="s">
        <v>461</v>
      </c>
      <c r="B634" s="1" t="s">
        <v>24</v>
      </c>
      <c r="C634">
        <v>37.36</v>
      </c>
      <c r="D634">
        <v>2</v>
      </c>
      <c r="E634" s="1" t="s">
        <v>51</v>
      </c>
      <c r="F634">
        <v>9</v>
      </c>
      <c r="G634" s="1" t="s">
        <v>41</v>
      </c>
    </row>
    <row r="635" spans="1:7" x14ac:dyDescent="0.35">
      <c r="A635" s="1" t="s">
        <v>475</v>
      </c>
      <c r="B635" s="1" t="s">
        <v>2</v>
      </c>
      <c r="C635">
        <v>9.2200000000000006</v>
      </c>
      <c r="D635">
        <v>5</v>
      </c>
      <c r="E635" s="1" t="s">
        <v>51</v>
      </c>
      <c r="F635">
        <v>22</v>
      </c>
      <c r="G635" s="1" t="s">
        <v>43</v>
      </c>
    </row>
    <row r="636" spans="1:7" x14ac:dyDescent="0.35">
      <c r="A636" s="1" t="s">
        <v>476</v>
      </c>
      <c r="B636" s="1" t="s">
        <v>22</v>
      </c>
      <c r="C636">
        <v>29.57</v>
      </c>
      <c r="D636">
        <v>3</v>
      </c>
      <c r="E636" s="1" t="s">
        <v>51</v>
      </c>
      <c r="F636">
        <v>18</v>
      </c>
      <c r="G636" s="1" t="s">
        <v>42</v>
      </c>
    </row>
    <row r="637" spans="1:7" x14ac:dyDescent="0.35">
      <c r="A637" s="1" t="s">
        <v>465</v>
      </c>
      <c r="B637" s="1" t="s">
        <v>12</v>
      </c>
      <c r="C637">
        <v>4.01</v>
      </c>
      <c r="D637">
        <v>4</v>
      </c>
      <c r="E637" s="1" t="s">
        <v>61</v>
      </c>
      <c r="F637">
        <v>0</v>
      </c>
      <c r="G637" s="1" t="s">
        <v>40</v>
      </c>
    </row>
    <row r="638" spans="1:7" x14ac:dyDescent="0.35">
      <c r="A638" s="1" t="s">
        <v>477</v>
      </c>
      <c r="B638" s="1" t="s">
        <v>29</v>
      </c>
      <c r="C638">
        <v>39.950000000000003</v>
      </c>
      <c r="D638">
        <v>2</v>
      </c>
      <c r="E638" s="1" t="s">
        <v>51</v>
      </c>
      <c r="F638">
        <v>20</v>
      </c>
      <c r="G638" s="1" t="s">
        <v>42</v>
      </c>
    </row>
    <row r="639" spans="1:7" x14ac:dyDescent="0.35">
      <c r="A639" s="1" t="s">
        <v>478</v>
      </c>
      <c r="B639" s="1" t="s">
        <v>3</v>
      </c>
      <c r="C639">
        <v>57.3</v>
      </c>
      <c r="D639">
        <v>2</v>
      </c>
      <c r="E639" s="1" t="s">
        <v>51</v>
      </c>
      <c r="F639">
        <v>9</v>
      </c>
      <c r="G639" s="1" t="s">
        <v>41</v>
      </c>
    </row>
    <row r="640" spans="1:7" x14ac:dyDescent="0.35">
      <c r="A640" s="1" t="s">
        <v>479</v>
      </c>
      <c r="B640" s="1" t="s">
        <v>6</v>
      </c>
      <c r="C640">
        <v>5.84</v>
      </c>
      <c r="D640">
        <v>5</v>
      </c>
      <c r="E640" s="1" t="s">
        <v>51</v>
      </c>
      <c r="F640">
        <v>13</v>
      </c>
      <c r="G640" s="1" t="s">
        <v>43</v>
      </c>
    </row>
    <row r="641" spans="1:7" x14ac:dyDescent="0.35">
      <c r="A641" s="1" t="s">
        <v>470</v>
      </c>
      <c r="B641" s="1" t="s">
        <v>19</v>
      </c>
      <c r="C641">
        <v>42.23</v>
      </c>
      <c r="D641">
        <v>4</v>
      </c>
      <c r="E641" s="1" t="s">
        <v>51</v>
      </c>
      <c r="F641">
        <v>7</v>
      </c>
      <c r="G641" s="1" t="s">
        <v>40</v>
      </c>
    </row>
    <row r="642" spans="1:7" x14ac:dyDescent="0.35">
      <c r="A642" s="1" t="s">
        <v>467</v>
      </c>
      <c r="B642" s="1" t="s">
        <v>3</v>
      </c>
      <c r="C642">
        <v>29.96</v>
      </c>
      <c r="D642">
        <v>5</v>
      </c>
      <c r="E642" s="1" t="s">
        <v>68</v>
      </c>
      <c r="F642">
        <v>3</v>
      </c>
      <c r="G642" s="1" t="s">
        <v>40</v>
      </c>
    </row>
    <row r="643" spans="1:7" x14ac:dyDescent="0.35">
      <c r="A643" s="1" t="s">
        <v>480</v>
      </c>
      <c r="B643" s="1" t="s">
        <v>8</v>
      </c>
      <c r="C643">
        <v>6.45</v>
      </c>
      <c r="D643">
        <v>4</v>
      </c>
      <c r="E643" s="1" t="s">
        <v>51</v>
      </c>
      <c r="F643">
        <v>3</v>
      </c>
      <c r="G643" s="1" t="s">
        <v>40</v>
      </c>
    </row>
    <row r="644" spans="1:7" x14ac:dyDescent="0.35">
      <c r="A644" s="1" t="s">
        <v>459</v>
      </c>
      <c r="B644" s="1" t="s">
        <v>11</v>
      </c>
      <c r="C644">
        <v>11.38</v>
      </c>
      <c r="D644">
        <v>4</v>
      </c>
      <c r="E644" s="1" t="s">
        <v>61</v>
      </c>
      <c r="F644">
        <v>0</v>
      </c>
      <c r="G644" s="1" t="s">
        <v>40</v>
      </c>
    </row>
    <row r="645" spans="1:7" x14ac:dyDescent="0.35">
      <c r="A645" s="1" t="s">
        <v>476</v>
      </c>
      <c r="B645" s="1" t="s">
        <v>3</v>
      </c>
      <c r="C645">
        <v>20.2</v>
      </c>
      <c r="D645">
        <v>3</v>
      </c>
      <c r="E645" s="1" t="s">
        <v>51</v>
      </c>
      <c r="F645">
        <v>1</v>
      </c>
      <c r="G645" s="1" t="s">
        <v>41</v>
      </c>
    </row>
    <row r="646" spans="1:7" x14ac:dyDescent="0.35">
      <c r="A646" s="1" t="s">
        <v>481</v>
      </c>
      <c r="B646" s="1" t="s">
        <v>23</v>
      </c>
      <c r="C646">
        <v>4.96</v>
      </c>
      <c r="D646">
        <v>4</v>
      </c>
      <c r="E646" s="1" t="s">
        <v>51</v>
      </c>
      <c r="F646">
        <v>15</v>
      </c>
      <c r="G646" s="1" t="s">
        <v>43</v>
      </c>
    </row>
    <row r="647" spans="1:7" x14ac:dyDescent="0.35">
      <c r="A647" s="1" t="s">
        <v>482</v>
      </c>
      <c r="B647" s="1" t="s">
        <v>6</v>
      </c>
      <c r="C647">
        <v>30.48</v>
      </c>
      <c r="D647">
        <v>5</v>
      </c>
      <c r="E647" s="1" t="s">
        <v>51</v>
      </c>
      <c r="F647">
        <v>20</v>
      </c>
      <c r="G647" s="1" t="s">
        <v>43</v>
      </c>
    </row>
    <row r="648" spans="1:7" x14ac:dyDescent="0.35">
      <c r="A648" s="1" t="s">
        <v>470</v>
      </c>
      <c r="B648" s="1" t="s">
        <v>2</v>
      </c>
      <c r="C648">
        <v>18.809999999999999</v>
      </c>
      <c r="D648">
        <v>3</v>
      </c>
      <c r="E648" s="1" t="s">
        <v>51</v>
      </c>
      <c r="F648">
        <v>8</v>
      </c>
      <c r="G648" s="1" t="s">
        <v>41</v>
      </c>
    </row>
    <row r="649" spans="1:7" x14ac:dyDescent="0.35">
      <c r="A649" s="1" t="s">
        <v>469</v>
      </c>
      <c r="B649" s="1" t="s">
        <v>6</v>
      </c>
      <c r="C649">
        <v>26.57</v>
      </c>
      <c r="D649">
        <v>4</v>
      </c>
      <c r="E649" s="1" t="s">
        <v>51</v>
      </c>
      <c r="F649">
        <v>17</v>
      </c>
      <c r="G649" s="1" t="s">
        <v>43</v>
      </c>
    </row>
    <row r="650" spans="1:7" x14ac:dyDescent="0.35">
      <c r="A650" s="1" t="s">
        <v>473</v>
      </c>
      <c r="B650" s="1" t="s">
        <v>9</v>
      </c>
      <c r="C650">
        <v>24.8</v>
      </c>
      <c r="D650">
        <v>5</v>
      </c>
      <c r="E650" s="1" t="s">
        <v>51</v>
      </c>
      <c r="F650">
        <v>20</v>
      </c>
      <c r="G650" s="1" t="s">
        <v>43</v>
      </c>
    </row>
    <row r="651" spans="1:7" x14ac:dyDescent="0.35">
      <c r="A651" s="1" t="s">
        <v>467</v>
      </c>
      <c r="B651" s="1" t="s">
        <v>26</v>
      </c>
      <c r="C651">
        <v>26.95</v>
      </c>
      <c r="D651">
        <v>5</v>
      </c>
      <c r="E651" s="1" t="s">
        <v>51</v>
      </c>
      <c r="F651">
        <v>5</v>
      </c>
      <c r="G651" s="1" t="s">
        <v>40</v>
      </c>
    </row>
    <row r="652" spans="1:7" x14ac:dyDescent="0.35">
      <c r="A652" s="1" t="s">
        <v>483</v>
      </c>
      <c r="B652" s="1" t="s">
        <v>27</v>
      </c>
      <c r="C652">
        <v>10.64</v>
      </c>
      <c r="D652">
        <v>1</v>
      </c>
      <c r="E652" s="1" t="s">
        <v>51</v>
      </c>
      <c r="F652">
        <v>3</v>
      </c>
      <c r="G652" s="1" t="s">
        <v>41</v>
      </c>
    </row>
    <row r="653" spans="1:7" x14ac:dyDescent="0.35">
      <c r="A653" s="1" t="s">
        <v>484</v>
      </c>
      <c r="B653" s="1" t="s">
        <v>18</v>
      </c>
      <c r="C653">
        <v>40.22</v>
      </c>
      <c r="D653">
        <v>4</v>
      </c>
      <c r="E653" s="1" t="s">
        <v>51</v>
      </c>
      <c r="F653">
        <v>19</v>
      </c>
      <c r="G653" s="1" t="s">
        <v>43</v>
      </c>
    </row>
    <row r="654" spans="1:7" x14ac:dyDescent="0.35">
      <c r="A654" s="1" t="s">
        <v>485</v>
      </c>
      <c r="B654" s="1" t="s">
        <v>5</v>
      </c>
      <c r="C654">
        <v>33.74</v>
      </c>
      <c r="D654">
        <v>5</v>
      </c>
      <c r="E654" s="1" t="s">
        <v>51</v>
      </c>
      <c r="F654">
        <v>8</v>
      </c>
      <c r="G654" s="1" t="s">
        <v>40</v>
      </c>
    </row>
    <row r="655" spans="1:7" x14ac:dyDescent="0.35">
      <c r="A655" s="1" t="s">
        <v>486</v>
      </c>
      <c r="B655" s="1" t="s">
        <v>19</v>
      </c>
      <c r="C655">
        <v>26.49</v>
      </c>
      <c r="D655">
        <v>4</v>
      </c>
      <c r="E655" s="1" t="s">
        <v>61</v>
      </c>
      <c r="F655">
        <v>0</v>
      </c>
      <c r="G655" s="1" t="s">
        <v>40</v>
      </c>
    </row>
    <row r="656" spans="1:7" x14ac:dyDescent="0.35">
      <c r="A656" s="1" t="s">
        <v>487</v>
      </c>
      <c r="B656" s="1" t="s">
        <v>15</v>
      </c>
      <c r="C656">
        <v>5.84</v>
      </c>
      <c r="D656">
        <v>5</v>
      </c>
      <c r="E656" s="1" t="s">
        <v>51</v>
      </c>
      <c r="F656">
        <v>18</v>
      </c>
      <c r="G656" s="1" t="s">
        <v>43</v>
      </c>
    </row>
    <row r="657" spans="1:7" x14ac:dyDescent="0.35">
      <c r="A657" s="1" t="s">
        <v>488</v>
      </c>
      <c r="B657" s="1" t="s">
        <v>8</v>
      </c>
      <c r="C657">
        <v>53.67</v>
      </c>
      <c r="D657">
        <v>3</v>
      </c>
      <c r="E657" s="1" t="s">
        <v>51</v>
      </c>
      <c r="F657">
        <v>19</v>
      </c>
      <c r="G657" s="1" t="s">
        <v>42</v>
      </c>
    </row>
    <row r="658" spans="1:7" x14ac:dyDescent="0.35">
      <c r="A658" s="1" t="s">
        <v>489</v>
      </c>
      <c r="B658" s="1" t="s">
        <v>8</v>
      </c>
      <c r="C658">
        <v>38.96</v>
      </c>
      <c r="D658">
        <v>4</v>
      </c>
      <c r="E658" s="1" t="s">
        <v>51</v>
      </c>
      <c r="F658">
        <v>20</v>
      </c>
      <c r="G658" s="1" t="s">
        <v>43</v>
      </c>
    </row>
    <row r="659" spans="1:7" x14ac:dyDescent="0.35">
      <c r="A659" s="1" t="s">
        <v>490</v>
      </c>
      <c r="B659" s="1" t="s">
        <v>28</v>
      </c>
      <c r="C659">
        <v>15.2</v>
      </c>
      <c r="D659">
        <v>2</v>
      </c>
      <c r="E659" s="1" t="s">
        <v>51</v>
      </c>
      <c r="F659">
        <v>3</v>
      </c>
      <c r="G659" s="1" t="s">
        <v>41</v>
      </c>
    </row>
    <row r="660" spans="1:7" x14ac:dyDescent="0.35">
      <c r="A660" s="1" t="s">
        <v>491</v>
      </c>
      <c r="B660" s="1" t="s">
        <v>7</v>
      </c>
      <c r="C660">
        <v>56.3</v>
      </c>
      <c r="D660">
        <v>3</v>
      </c>
      <c r="E660" s="1" t="s">
        <v>51</v>
      </c>
      <c r="F660">
        <v>2</v>
      </c>
      <c r="G660" s="1" t="s">
        <v>41</v>
      </c>
    </row>
    <row r="661" spans="1:7" x14ac:dyDescent="0.35">
      <c r="A661" s="1" t="s">
        <v>492</v>
      </c>
      <c r="B661" s="1" t="s">
        <v>4</v>
      </c>
      <c r="C661">
        <v>19.57</v>
      </c>
      <c r="D661">
        <v>5</v>
      </c>
      <c r="E661" s="1" t="s">
        <v>51</v>
      </c>
      <c r="F661">
        <v>6</v>
      </c>
      <c r="G661" s="1" t="s">
        <v>40</v>
      </c>
    </row>
    <row r="662" spans="1:7" x14ac:dyDescent="0.35">
      <c r="A662" s="1" t="s">
        <v>493</v>
      </c>
      <c r="B662" s="1" t="s">
        <v>26</v>
      </c>
      <c r="C662">
        <v>21.23</v>
      </c>
      <c r="D662">
        <v>4</v>
      </c>
      <c r="E662" s="1" t="s">
        <v>51</v>
      </c>
      <c r="F662">
        <v>4</v>
      </c>
      <c r="G662" s="1" t="s">
        <v>40</v>
      </c>
    </row>
    <row r="663" spans="1:7" x14ac:dyDescent="0.35">
      <c r="A663" s="1" t="s">
        <v>484</v>
      </c>
      <c r="B663" s="1" t="s">
        <v>9</v>
      </c>
      <c r="C663">
        <v>57.87</v>
      </c>
      <c r="D663">
        <v>4</v>
      </c>
      <c r="E663" s="1" t="s">
        <v>51</v>
      </c>
      <c r="F663">
        <v>15</v>
      </c>
      <c r="G663" s="1" t="s">
        <v>43</v>
      </c>
    </row>
    <row r="664" spans="1:7" x14ac:dyDescent="0.35">
      <c r="A664" s="1" t="s">
        <v>492</v>
      </c>
      <c r="B664" s="1" t="s">
        <v>23</v>
      </c>
      <c r="C664">
        <v>49.18</v>
      </c>
      <c r="D664">
        <v>4</v>
      </c>
      <c r="E664" s="1" t="s">
        <v>51</v>
      </c>
      <c r="F664">
        <v>13</v>
      </c>
      <c r="G664" s="1" t="s">
        <v>43</v>
      </c>
    </row>
    <row r="665" spans="1:7" x14ac:dyDescent="0.35">
      <c r="A665" s="1" t="s">
        <v>486</v>
      </c>
      <c r="B665" s="1" t="s">
        <v>18</v>
      </c>
      <c r="C665">
        <v>47.48</v>
      </c>
      <c r="D665">
        <v>5</v>
      </c>
      <c r="E665" s="1" t="s">
        <v>51</v>
      </c>
      <c r="F665">
        <v>16</v>
      </c>
      <c r="G665" s="1" t="s">
        <v>43</v>
      </c>
    </row>
    <row r="666" spans="1:7" x14ac:dyDescent="0.35">
      <c r="A666" s="1" t="s">
        <v>487</v>
      </c>
      <c r="B666" s="1" t="s">
        <v>5</v>
      </c>
      <c r="C666">
        <v>55.92</v>
      </c>
      <c r="D666">
        <v>5</v>
      </c>
      <c r="E666" s="1" t="s">
        <v>51</v>
      </c>
      <c r="F666">
        <v>10</v>
      </c>
      <c r="G666" s="1" t="s">
        <v>40</v>
      </c>
    </row>
    <row r="667" spans="1:7" x14ac:dyDescent="0.35">
      <c r="A667" s="1" t="s">
        <v>494</v>
      </c>
      <c r="B667" s="1" t="s">
        <v>30</v>
      </c>
      <c r="C667">
        <v>46.44</v>
      </c>
      <c r="D667">
        <v>5</v>
      </c>
      <c r="E667" s="1" t="s">
        <v>51</v>
      </c>
      <c r="F667">
        <v>6</v>
      </c>
      <c r="G667" s="1" t="s">
        <v>40</v>
      </c>
    </row>
    <row r="668" spans="1:7" x14ac:dyDescent="0.35">
      <c r="A668" s="1" t="s">
        <v>495</v>
      </c>
      <c r="B668" s="1" t="s">
        <v>16</v>
      </c>
      <c r="C668">
        <v>54.91</v>
      </c>
      <c r="D668">
        <v>5</v>
      </c>
      <c r="E668" s="1" t="s">
        <v>51</v>
      </c>
      <c r="F668">
        <v>3</v>
      </c>
      <c r="G668" s="1" t="s">
        <v>40</v>
      </c>
    </row>
    <row r="669" spans="1:7" x14ac:dyDescent="0.35">
      <c r="A669" s="1" t="s">
        <v>486</v>
      </c>
      <c r="B669" s="1" t="s">
        <v>28</v>
      </c>
      <c r="C669">
        <v>37.64</v>
      </c>
      <c r="D669">
        <v>4</v>
      </c>
      <c r="E669" s="1" t="s">
        <v>51</v>
      </c>
      <c r="F669">
        <v>3</v>
      </c>
      <c r="G669" s="1" t="s">
        <v>40</v>
      </c>
    </row>
    <row r="670" spans="1:7" x14ac:dyDescent="0.35">
      <c r="A670" s="1" t="s">
        <v>496</v>
      </c>
      <c r="B670" s="1" t="s">
        <v>17</v>
      </c>
      <c r="C670">
        <v>25.51</v>
      </c>
      <c r="D670">
        <v>5</v>
      </c>
      <c r="E670" s="1" t="s">
        <v>61</v>
      </c>
      <c r="F670">
        <v>0</v>
      </c>
      <c r="G670" s="1" t="s">
        <v>40</v>
      </c>
    </row>
    <row r="671" spans="1:7" x14ac:dyDescent="0.35">
      <c r="A671" s="1" t="s">
        <v>487</v>
      </c>
      <c r="B671" s="1" t="s">
        <v>19</v>
      </c>
      <c r="C671">
        <v>26.11</v>
      </c>
      <c r="D671">
        <v>1</v>
      </c>
      <c r="E671" s="1" t="s">
        <v>51</v>
      </c>
      <c r="F671">
        <v>10</v>
      </c>
      <c r="G671" s="1" t="s">
        <v>41</v>
      </c>
    </row>
    <row r="672" spans="1:7" x14ac:dyDescent="0.35">
      <c r="A672" s="1" t="s">
        <v>497</v>
      </c>
      <c r="B672" s="1" t="s">
        <v>27</v>
      </c>
      <c r="C672">
        <v>52.29</v>
      </c>
      <c r="D672">
        <v>5</v>
      </c>
      <c r="E672" s="1" t="s">
        <v>51</v>
      </c>
      <c r="F672">
        <v>4</v>
      </c>
      <c r="G672" s="1" t="s">
        <v>40</v>
      </c>
    </row>
    <row r="673" spans="1:7" x14ac:dyDescent="0.35">
      <c r="A673" s="1" t="s">
        <v>498</v>
      </c>
      <c r="B673" s="1" t="s">
        <v>14</v>
      </c>
      <c r="C673">
        <v>52.34</v>
      </c>
      <c r="D673">
        <v>4</v>
      </c>
      <c r="E673" s="1" t="s">
        <v>68</v>
      </c>
      <c r="F673">
        <v>22</v>
      </c>
      <c r="G673" s="1" t="s">
        <v>43</v>
      </c>
    </row>
    <row r="674" spans="1:7" x14ac:dyDescent="0.35">
      <c r="A674" s="1" t="s">
        <v>494</v>
      </c>
      <c r="B674" s="1" t="s">
        <v>20</v>
      </c>
      <c r="C674">
        <v>7.31</v>
      </c>
      <c r="D674">
        <v>3</v>
      </c>
      <c r="E674" s="1" t="s">
        <v>61</v>
      </c>
      <c r="F674">
        <v>0</v>
      </c>
      <c r="G674" s="1" t="s">
        <v>41</v>
      </c>
    </row>
    <row r="675" spans="1:7" x14ac:dyDescent="0.35">
      <c r="A675" s="1" t="s">
        <v>499</v>
      </c>
      <c r="B675" s="1" t="s">
        <v>4</v>
      </c>
      <c r="C675">
        <v>31.85</v>
      </c>
      <c r="D675">
        <v>3</v>
      </c>
      <c r="E675" s="1" t="s">
        <v>51</v>
      </c>
      <c r="F675">
        <v>7</v>
      </c>
      <c r="G675" s="1" t="s">
        <v>41</v>
      </c>
    </row>
    <row r="676" spans="1:7" x14ac:dyDescent="0.35">
      <c r="A676" s="1" t="s">
        <v>500</v>
      </c>
      <c r="B676" s="1" t="s">
        <v>13</v>
      </c>
      <c r="C676">
        <v>30.36</v>
      </c>
      <c r="D676">
        <v>5</v>
      </c>
      <c r="E676" s="1" t="s">
        <v>51</v>
      </c>
      <c r="F676">
        <v>7</v>
      </c>
      <c r="G676" s="1" t="s">
        <v>40</v>
      </c>
    </row>
    <row r="677" spans="1:7" x14ac:dyDescent="0.35">
      <c r="A677" s="1" t="s">
        <v>497</v>
      </c>
      <c r="B677" s="1" t="s">
        <v>3</v>
      </c>
      <c r="C677">
        <v>39.450000000000003</v>
      </c>
      <c r="D677">
        <v>5</v>
      </c>
      <c r="E677" s="1" t="s">
        <v>68</v>
      </c>
      <c r="F677">
        <v>1</v>
      </c>
      <c r="G677" s="1" t="s">
        <v>40</v>
      </c>
    </row>
    <row r="678" spans="1:7" x14ac:dyDescent="0.35">
      <c r="A678" s="1" t="s">
        <v>501</v>
      </c>
      <c r="B678" s="1" t="s">
        <v>4</v>
      </c>
      <c r="C678">
        <v>51.62</v>
      </c>
      <c r="D678">
        <v>4</v>
      </c>
      <c r="E678" s="1" t="s">
        <v>51</v>
      </c>
      <c r="F678">
        <v>9</v>
      </c>
      <c r="G678" s="1" t="s">
        <v>40</v>
      </c>
    </row>
    <row r="679" spans="1:7" x14ac:dyDescent="0.35">
      <c r="A679" s="1" t="s">
        <v>502</v>
      </c>
      <c r="B679" s="1" t="s">
        <v>27</v>
      </c>
      <c r="C679">
        <v>35.6</v>
      </c>
      <c r="D679">
        <v>3</v>
      </c>
      <c r="E679" s="1" t="s">
        <v>51</v>
      </c>
      <c r="F679">
        <v>15</v>
      </c>
      <c r="G679" s="1" t="s">
        <v>42</v>
      </c>
    </row>
    <row r="680" spans="1:7" x14ac:dyDescent="0.35">
      <c r="A680" s="1" t="s">
        <v>503</v>
      </c>
      <c r="B680" s="1" t="s">
        <v>21</v>
      </c>
      <c r="C680">
        <v>31.79</v>
      </c>
      <c r="D680">
        <v>4</v>
      </c>
      <c r="E680" s="1" t="s">
        <v>51</v>
      </c>
      <c r="F680">
        <v>22</v>
      </c>
      <c r="G680" s="1" t="s">
        <v>43</v>
      </c>
    </row>
    <row r="681" spans="1:7" x14ac:dyDescent="0.35">
      <c r="A681" s="1" t="s">
        <v>498</v>
      </c>
      <c r="B681" s="1" t="s">
        <v>24</v>
      </c>
      <c r="C681">
        <v>1.2</v>
      </c>
      <c r="D681">
        <v>5</v>
      </c>
      <c r="E681" s="1" t="s">
        <v>51</v>
      </c>
      <c r="F681">
        <v>18</v>
      </c>
      <c r="G681" s="1" t="s">
        <v>43</v>
      </c>
    </row>
    <row r="682" spans="1:7" x14ac:dyDescent="0.35">
      <c r="A682" s="1" t="s">
        <v>504</v>
      </c>
      <c r="B682" s="1" t="s">
        <v>28</v>
      </c>
      <c r="C682">
        <v>53.52</v>
      </c>
      <c r="D682">
        <v>3</v>
      </c>
      <c r="E682" s="1" t="s">
        <v>68</v>
      </c>
      <c r="F682">
        <v>12</v>
      </c>
      <c r="G682" s="1" t="s">
        <v>42</v>
      </c>
    </row>
    <row r="683" spans="1:7" x14ac:dyDescent="0.35">
      <c r="A683" s="1" t="s">
        <v>505</v>
      </c>
      <c r="B683" s="1" t="s">
        <v>20</v>
      </c>
      <c r="C683">
        <v>27.03</v>
      </c>
      <c r="D683">
        <v>2</v>
      </c>
      <c r="E683" s="1" t="s">
        <v>51</v>
      </c>
      <c r="F683">
        <v>7</v>
      </c>
      <c r="G683" s="1" t="s">
        <v>41</v>
      </c>
    </row>
    <row r="684" spans="1:7" x14ac:dyDescent="0.35">
      <c r="A684" s="1" t="s">
        <v>506</v>
      </c>
      <c r="B684" s="1" t="s">
        <v>30</v>
      </c>
      <c r="C684">
        <v>15.23</v>
      </c>
      <c r="D684">
        <v>4</v>
      </c>
      <c r="E684" s="1" t="s">
        <v>51</v>
      </c>
      <c r="F684">
        <v>6</v>
      </c>
      <c r="G684" s="1" t="s">
        <v>40</v>
      </c>
    </row>
    <row r="685" spans="1:7" x14ac:dyDescent="0.35">
      <c r="A685" s="1" t="s">
        <v>507</v>
      </c>
      <c r="B685" s="1" t="s">
        <v>26</v>
      </c>
      <c r="C685">
        <v>10.69</v>
      </c>
      <c r="D685">
        <v>5</v>
      </c>
      <c r="E685" s="1" t="s">
        <v>61</v>
      </c>
      <c r="F685">
        <v>0</v>
      </c>
      <c r="G685" s="1" t="s">
        <v>40</v>
      </c>
    </row>
    <row r="686" spans="1:7" x14ac:dyDescent="0.35">
      <c r="A686" s="1" t="s">
        <v>508</v>
      </c>
      <c r="B686" s="1" t="s">
        <v>21</v>
      </c>
      <c r="C686">
        <v>37.99</v>
      </c>
      <c r="D686">
        <v>5</v>
      </c>
      <c r="E686" s="1" t="s">
        <v>51</v>
      </c>
      <c r="F686">
        <v>22</v>
      </c>
      <c r="G686" s="1" t="s">
        <v>43</v>
      </c>
    </row>
    <row r="687" spans="1:7" x14ac:dyDescent="0.35">
      <c r="A687" s="1" t="s">
        <v>502</v>
      </c>
      <c r="B687" s="1" t="s">
        <v>8</v>
      </c>
      <c r="C687">
        <v>16.7</v>
      </c>
      <c r="D687">
        <v>4</v>
      </c>
      <c r="E687" s="1" t="s">
        <v>51</v>
      </c>
      <c r="F687">
        <v>22</v>
      </c>
      <c r="G687" s="1" t="s">
        <v>43</v>
      </c>
    </row>
    <row r="688" spans="1:7" x14ac:dyDescent="0.35">
      <c r="A688" s="1" t="s">
        <v>509</v>
      </c>
      <c r="B688" s="1" t="s">
        <v>13</v>
      </c>
      <c r="C688">
        <v>13.63</v>
      </c>
      <c r="D688">
        <v>5</v>
      </c>
      <c r="E688" s="1" t="s">
        <v>51</v>
      </c>
      <c r="F688">
        <v>1</v>
      </c>
      <c r="G688" s="1" t="s">
        <v>40</v>
      </c>
    </row>
    <row r="689" spans="1:7" x14ac:dyDescent="0.35">
      <c r="A689" s="1" t="s">
        <v>510</v>
      </c>
      <c r="B689" s="1" t="s">
        <v>19</v>
      </c>
      <c r="C689">
        <v>8.98</v>
      </c>
      <c r="D689">
        <v>4</v>
      </c>
      <c r="E689" s="1" t="s">
        <v>51</v>
      </c>
      <c r="F689">
        <v>8</v>
      </c>
      <c r="G689" s="1" t="s">
        <v>40</v>
      </c>
    </row>
    <row r="690" spans="1:7" x14ac:dyDescent="0.35">
      <c r="A690" s="1" t="s">
        <v>511</v>
      </c>
      <c r="B690" s="1" t="s">
        <v>5</v>
      </c>
      <c r="C690">
        <v>48.36</v>
      </c>
      <c r="D690">
        <v>3</v>
      </c>
      <c r="E690" s="1" t="s">
        <v>51</v>
      </c>
      <c r="F690">
        <v>17</v>
      </c>
      <c r="G690" s="1" t="s">
        <v>42</v>
      </c>
    </row>
    <row r="691" spans="1:7" x14ac:dyDescent="0.35">
      <c r="A691" s="1" t="s">
        <v>485</v>
      </c>
      <c r="B691" s="1" t="s">
        <v>3</v>
      </c>
      <c r="C691">
        <v>5.93</v>
      </c>
      <c r="D691">
        <v>3</v>
      </c>
      <c r="E691" s="1" t="s">
        <v>51</v>
      </c>
      <c r="F691">
        <v>21</v>
      </c>
      <c r="G691" s="1" t="s">
        <v>42</v>
      </c>
    </row>
    <row r="692" spans="1:7" x14ac:dyDescent="0.35">
      <c r="A692" s="1" t="s">
        <v>503</v>
      </c>
      <c r="B692" s="1" t="s">
        <v>24</v>
      </c>
      <c r="C692">
        <v>39.08</v>
      </c>
      <c r="D692">
        <v>5</v>
      </c>
      <c r="E692" s="1" t="s">
        <v>51</v>
      </c>
      <c r="F692">
        <v>3</v>
      </c>
      <c r="G692" s="1" t="s">
        <v>40</v>
      </c>
    </row>
    <row r="693" spans="1:7" x14ac:dyDescent="0.35">
      <c r="A693" s="1" t="s">
        <v>503</v>
      </c>
      <c r="B693" s="1" t="s">
        <v>13</v>
      </c>
      <c r="C693">
        <v>3.88</v>
      </c>
      <c r="D693">
        <v>4</v>
      </c>
      <c r="E693" s="1" t="s">
        <v>68</v>
      </c>
      <c r="F693">
        <v>13</v>
      </c>
      <c r="G693" s="1" t="s">
        <v>43</v>
      </c>
    </row>
    <row r="694" spans="1:7" x14ac:dyDescent="0.35">
      <c r="A694" s="1" t="s">
        <v>512</v>
      </c>
      <c r="B694" s="1" t="s">
        <v>22</v>
      </c>
      <c r="C694">
        <v>44.04</v>
      </c>
      <c r="D694">
        <v>4</v>
      </c>
      <c r="E694" s="1" t="s">
        <v>51</v>
      </c>
      <c r="F694">
        <v>16</v>
      </c>
      <c r="G694" s="1" t="s">
        <v>43</v>
      </c>
    </row>
    <row r="695" spans="1:7" x14ac:dyDescent="0.35">
      <c r="A695" s="1" t="s">
        <v>511</v>
      </c>
      <c r="B695" s="1" t="s">
        <v>15</v>
      </c>
      <c r="C695">
        <v>52.04</v>
      </c>
      <c r="D695">
        <v>3</v>
      </c>
      <c r="E695" s="1" t="s">
        <v>51</v>
      </c>
      <c r="F695">
        <v>18</v>
      </c>
      <c r="G695" s="1" t="s">
        <v>42</v>
      </c>
    </row>
    <row r="696" spans="1:7" x14ac:dyDescent="0.35">
      <c r="A696" s="1" t="s">
        <v>484</v>
      </c>
      <c r="B696" s="1" t="s">
        <v>4</v>
      </c>
      <c r="C696">
        <v>4.87</v>
      </c>
      <c r="D696">
        <v>4</v>
      </c>
      <c r="E696" s="1" t="s">
        <v>51</v>
      </c>
      <c r="F696">
        <v>10</v>
      </c>
      <c r="G696" s="1" t="s">
        <v>40</v>
      </c>
    </row>
    <row r="697" spans="1:7" x14ac:dyDescent="0.35">
      <c r="A697" s="1" t="s">
        <v>499</v>
      </c>
      <c r="B697" s="1" t="s">
        <v>9</v>
      </c>
      <c r="C697">
        <v>52.52</v>
      </c>
      <c r="D697">
        <v>5</v>
      </c>
      <c r="E697" s="1" t="s">
        <v>51</v>
      </c>
      <c r="F697">
        <v>21</v>
      </c>
      <c r="G697" s="1" t="s">
        <v>43</v>
      </c>
    </row>
    <row r="698" spans="1:7" x14ac:dyDescent="0.35">
      <c r="A698" s="1" t="s">
        <v>502</v>
      </c>
      <c r="B698" s="1" t="s">
        <v>22</v>
      </c>
      <c r="C698">
        <v>19.149999999999999</v>
      </c>
      <c r="D698">
        <v>5</v>
      </c>
      <c r="E698" s="1" t="s">
        <v>68</v>
      </c>
      <c r="F698">
        <v>17</v>
      </c>
      <c r="G698" s="1" t="s">
        <v>43</v>
      </c>
    </row>
    <row r="699" spans="1:7" x14ac:dyDescent="0.35">
      <c r="A699" s="1" t="s">
        <v>513</v>
      </c>
      <c r="B699" s="1" t="s">
        <v>26</v>
      </c>
      <c r="C699">
        <v>21.05</v>
      </c>
      <c r="D699">
        <v>3</v>
      </c>
      <c r="E699" s="1" t="s">
        <v>51</v>
      </c>
      <c r="F699">
        <v>10</v>
      </c>
      <c r="G699" s="1" t="s">
        <v>41</v>
      </c>
    </row>
    <row r="700" spans="1:7" x14ac:dyDescent="0.35">
      <c r="A700" s="1" t="s">
        <v>495</v>
      </c>
      <c r="B700" s="1" t="s">
        <v>11</v>
      </c>
      <c r="C700">
        <v>52.83</v>
      </c>
      <c r="D700">
        <v>2</v>
      </c>
      <c r="E700" s="1" t="s">
        <v>51</v>
      </c>
      <c r="F700">
        <v>7</v>
      </c>
      <c r="G700" s="1" t="s">
        <v>41</v>
      </c>
    </row>
    <row r="701" spans="1:7" x14ac:dyDescent="0.35">
      <c r="A701" s="1" t="s">
        <v>502</v>
      </c>
      <c r="B701" s="1" t="s">
        <v>22</v>
      </c>
      <c r="C701">
        <v>6.62</v>
      </c>
      <c r="D701">
        <v>5</v>
      </c>
      <c r="E701" s="1" t="s">
        <v>68</v>
      </c>
      <c r="F701">
        <v>18</v>
      </c>
      <c r="G701" s="1" t="s">
        <v>43</v>
      </c>
    </row>
    <row r="702" spans="1:7" x14ac:dyDescent="0.35">
      <c r="A702" s="1" t="s">
        <v>514</v>
      </c>
      <c r="B702" s="1" t="s">
        <v>18</v>
      </c>
      <c r="C702">
        <v>42.46</v>
      </c>
      <c r="D702">
        <v>3</v>
      </c>
      <c r="E702" s="1" t="s">
        <v>51</v>
      </c>
      <c r="F702">
        <v>20</v>
      </c>
      <c r="G702" s="1" t="s">
        <v>42</v>
      </c>
    </row>
    <row r="703" spans="1:7" x14ac:dyDescent="0.35">
      <c r="A703" s="1" t="s">
        <v>515</v>
      </c>
      <c r="B703" s="1" t="s">
        <v>20</v>
      </c>
      <c r="C703">
        <v>18.239999999999998</v>
      </c>
      <c r="D703">
        <v>3</v>
      </c>
      <c r="E703" s="1" t="s">
        <v>51</v>
      </c>
      <c r="F703">
        <v>11</v>
      </c>
      <c r="G703" s="1" t="s">
        <v>42</v>
      </c>
    </row>
    <row r="704" spans="1:7" x14ac:dyDescent="0.35">
      <c r="A704" s="1" t="s">
        <v>516</v>
      </c>
      <c r="B704" s="1" t="s">
        <v>6</v>
      </c>
      <c r="C704">
        <v>44.11</v>
      </c>
      <c r="D704">
        <v>2</v>
      </c>
      <c r="E704" s="1" t="s">
        <v>51</v>
      </c>
      <c r="F704">
        <v>2</v>
      </c>
      <c r="G704" s="1" t="s">
        <v>41</v>
      </c>
    </row>
    <row r="705" spans="1:7" x14ac:dyDescent="0.35">
      <c r="A705" s="1" t="s">
        <v>517</v>
      </c>
      <c r="B705" s="1" t="s">
        <v>23</v>
      </c>
      <c r="C705">
        <v>31.69</v>
      </c>
      <c r="D705">
        <v>3</v>
      </c>
      <c r="E705" s="1" t="s">
        <v>51</v>
      </c>
      <c r="F705">
        <v>20</v>
      </c>
      <c r="G705" s="1" t="s">
        <v>42</v>
      </c>
    </row>
    <row r="706" spans="1:7" x14ac:dyDescent="0.35">
      <c r="A706" s="1" t="s">
        <v>517</v>
      </c>
      <c r="B706" s="1" t="s">
        <v>25</v>
      </c>
      <c r="C706">
        <v>37.950000000000003</v>
      </c>
      <c r="D706">
        <v>4</v>
      </c>
      <c r="E706" s="1" t="s">
        <v>51</v>
      </c>
      <c r="F706">
        <v>21</v>
      </c>
      <c r="G706" s="1" t="s">
        <v>43</v>
      </c>
    </row>
    <row r="707" spans="1:7" x14ac:dyDescent="0.35">
      <c r="A707" s="1" t="s">
        <v>518</v>
      </c>
      <c r="B707" s="1" t="s">
        <v>11</v>
      </c>
      <c r="C707">
        <v>53.72</v>
      </c>
      <c r="D707">
        <v>2</v>
      </c>
      <c r="E707" s="1" t="s">
        <v>51</v>
      </c>
      <c r="F707">
        <v>8</v>
      </c>
      <c r="G707" s="1" t="s">
        <v>41</v>
      </c>
    </row>
    <row r="708" spans="1:7" x14ac:dyDescent="0.35">
      <c r="A708" s="1" t="s">
        <v>519</v>
      </c>
      <c r="B708" s="1" t="s">
        <v>9</v>
      </c>
      <c r="C708">
        <v>59.51</v>
      </c>
      <c r="D708">
        <v>4</v>
      </c>
      <c r="E708" s="1" t="s">
        <v>51</v>
      </c>
      <c r="F708">
        <v>20</v>
      </c>
      <c r="G708" s="1" t="s">
        <v>43</v>
      </c>
    </row>
    <row r="709" spans="1:7" x14ac:dyDescent="0.35">
      <c r="A709" s="1" t="s">
        <v>520</v>
      </c>
      <c r="B709" s="1" t="s">
        <v>7</v>
      </c>
      <c r="C709">
        <v>9.56</v>
      </c>
      <c r="D709">
        <v>5</v>
      </c>
      <c r="E709" s="1" t="s">
        <v>51</v>
      </c>
      <c r="F709">
        <v>21</v>
      </c>
      <c r="G709" s="1" t="s">
        <v>43</v>
      </c>
    </row>
    <row r="710" spans="1:7" x14ac:dyDescent="0.35">
      <c r="A710" s="1" t="s">
        <v>521</v>
      </c>
      <c r="B710" s="1" t="s">
        <v>5</v>
      </c>
      <c r="C710">
        <v>46.79</v>
      </c>
      <c r="D710">
        <v>4</v>
      </c>
      <c r="E710" s="1" t="s">
        <v>51</v>
      </c>
      <c r="F710">
        <v>2</v>
      </c>
      <c r="G710" s="1" t="s">
        <v>40</v>
      </c>
    </row>
    <row r="711" spans="1:7" x14ac:dyDescent="0.35">
      <c r="A711" s="1" t="s">
        <v>522</v>
      </c>
      <c r="B711" s="1" t="s">
        <v>4</v>
      </c>
      <c r="C711">
        <v>40.08</v>
      </c>
      <c r="D711">
        <v>5</v>
      </c>
      <c r="E711" s="1" t="s">
        <v>51</v>
      </c>
      <c r="F711">
        <v>17</v>
      </c>
      <c r="G711" s="1" t="s">
        <v>43</v>
      </c>
    </row>
    <row r="712" spans="1:7" x14ac:dyDescent="0.35">
      <c r="A712" s="1" t="s">
        <v>523</v>
      </c>
      <c r="B712" s="1" t="s">
        <v>5</v>
      </c>
      <c r="C712">
        <v>24.96</v>
      </c>
      <c r="D712">
        <v>5</v>
      </c>
      <c r="E712" s="1" t="s">
        <v>51</v>
      </c>
      <c r="F712">
        <v>5</v>
      </c>
      <c r="G712" s="1" t="s">
        <v>40</v>
      </c>
    </row>
    <row r="713" spans="1:7" x14ac:dyDescent="0.35">
      <c r="A713" s="1" t="s">
        <v>522</v>
      </c>
      <c r="B713" s="1" t="s">
        <v>14</v>
      </c>
      <c r="C713">
        <v>20.87</v>
      </c>
      <c r="D713">
        <v>5</v>
      </c>
      <c r="E713" s="1" t="s">
        <v>51</v>
      </c>
      <c r="F713">
        <v>7</v>
      </c>
      <c r="G713" s="1" t="s">
        <v>40</v>
      </c>
    </row>
    <row r="714" spans="1:7" x14ac:dyDescent="0.35">
      <c r="A714" s="1" t="s">
        <v>524</v>
      </c>
      <c r="B714" s="1" t="s">
        <v>16</v>
      </c>
      <c r="C714">
        <v>53.22</v>
      </c>
      <c r="D714">
        <v>2</v>
      </c>
      <c r="E714" s="1" t="s">
        <v>51</v>
      </c>
      <c r="F714">
        <v>13</v>
      </c>
      <c r="G714" s="1" t="s">
        <v>42</v>
      </c>
    </row>
    <row r="715" spans="1:7" x14ac:dyDescent="0.35">
      <c r="A715" s="1" t="s">
        <v>525</v>
      </c>
      <c r="B715" s="1" t="s">
        <v>9</v>
      </c>
      <c r="C715">
        <v>25.06</v>
      </c>
      <c r="D715">
        <v>3</v>
      </c>
      <c r="E715" s="1" t="s">
        <v>51</v>
      </c>
      <c r="F715">
        <v>7</v>
      </c>
      <c r="G715" s="1" t="s">
        <v>41</v>
      </c>
    </row>
    <row r="716" spans="1:7" x14ac:dyDescent="0.35">
      <c r="A716" s="1" t="s">
        <v>526</v>
      </c>
      <c r="B716" s="1" t="s">
        <v>30</v>
      </c>
      <c r="C716">
        <v>51.91</v>
      </c>
      <c r="D716">
        <v>4</v>
      </c>
      <c r="E716" s="1" t="s">
        <v>51</v>
      </c>
      <c r="F716">
        <v>12</v>
      </c>
      <c r="G716" s="1" t="s">
        <v>43</v>
      </c>
    </row>
    <row r="717" spans="1:7" x14ac:dyDescent="0.35">
      <c r="A717" s="1" t="s">
        <v>527</v>
      </c>
      <c r="B717" s="1" t="s">
        <v>27</v>
      </c>
      <c r="C717">
        <v>58.24</v>
      </c>
      <c r="D717">
        <v>3</v>
      </c>
      <c r="E717" s="1" t="s">
        <v>51</v>
      </c>
      <c r="F717">
        <v>3</v>
      </c>
      <c r="G717" s="1" t="s">
        <v>41</v>
      </c>
    </row>
    <row r="718" spans="1:7" x14ac:dyDescent="0.35">
      <c r="A718" s="1" t="s">
        <v>524</v>
      </c>
      <c r="B718" s="1" t="s">
        <v>3</v>
      </c>
      <c r="C718">
        <v>23.41</v>
      </c>
      <c r="D718">
        <v>3</v>
      </c>
      <c r="E718" s="1" t="s">
        <v>51</v>
      </c>
      <c r="F718">
        <v>17</v>
      </c>
      <c r="G718" s="1" t="s">
        <v>42</v>
      </c>
    </row>
    <row r="719" spans="1:7" x14ac:dyDescent="0.35">
      <c r="A719" s="1" t="s">
        <v>524</v>
      </c>
      <c r="B719" s="1" t="s">
        <v>6</v>
      </c>
      <c r="C719">
        <v>24.34</v>
      </c>
      <c r="D719">
        <v>4</v>
      </c>
      <c r="E719" s="1" t="s">
        <v>61</v>
      </c>
      <c r="F719">
        <v>0</v>
      </c>
      <c r="G719" s="1" t="s">
        <v>40</v>
      </c>
    </row>
    <row r="720" spans="1:7" x14ac:dyDescent="0.35">
      <c r="A720" s="1" t="s">
        <v>528</v>
      </c>
      <c r="B720" s="1" t="s">
        <v>8</v>
      </c>
      <c r="C720">
        <v>38.700000000000003</v>
      </c>
      <c r="D720">
        <v>5</v>
      </c>
      <c r="E720" s="1" t="s">
        <v>68</v>
      </c>
      <c r="F720">
        <v>19</v>
      </c>
      <c r="G720" s="1" t="s">
        <v>43</v>
      </c>
    </row>
    <row r="721" spans="1:7" x14ac:dyDescent="0.35">
      <c r="A721" s="1" t="s">
        <v>529</v>
      </c>
      <c r="B721" s="1" t="s">
        <v>10</v>
      </c>
      <c r="C721">
        <v>52.71</v>
      </c>
      <c r="D721">
        <v>5</v>
      </c>
      <c r="E721" s="1" t="s">
        <v>51</v>
      </c>
      <c r="F721">
        <v>22</v>
      </c>
      <c r="G721" s="1" t="s">
        <v>43</v>
      </c>
    </row>
    <row r="722" spans="1:7" x14ac:dyDescent="0.35">
      <c r="A722" s="1" t="s">
        <v>530</v>
      </c>
      <c r="B722" s="1" t="s">
        <v>25</v>
      </c>
      <c r="C722">
        <v>14.92</v>
      </c>
      <c r="D722">
        <v>4</v>
      </c>
      <c r="E722" s="1" t="s">
        <v>51</v>
      </c>
      <c r="F722">
        <v>5</v>
      </c>
      <c r="G722" s="1" t="s">
        <v>40</v>
      </c>
    </row>
    <row r="723" spans="1:7" x14ac:dyDescent="0.35">
      <c r="A723" s="1" t="s">
        <v>531</v>
      </c>
      <c r="B723" s="1" t="s">
        <v>9</v>
      </c>
      <c r="C723">
        <v>56.28</v>
      </c>
      <c r="D723">
        <v>4</v>
      </c>
      <c r="E723" s="1" t="s">
        <v>51</v>
      </c>
      <c r="F723">
        <v>5</v>
      </c>
      <c r="G723" s="1" t="s">
        <v>40</v>
      </c>
    </row>
    <row r="724" spans="1:7" x14ac:dyDescent="0.35">
      <c r="A724" s="1" t="s">
        <v>532</v>
      </c>
      <c r="B724" s="1" t="s">
        <v>2</v>
      </c>
      <c r="C724">
        <v>33.25</v>
      </c>
      <c r="D724">
        <v>1</v>
      </c>
      <c r="E724" s="1" t="s">
        <v>51</v>
      </c>
      <c r="F724">
        <v>2</v>
      </c>
      <c r="G724" s="1" t="s">
        <v>41</v>
      </c>
    </row>
    <row r="725" spans="1:7" x14ac:dyDescent="0.35">
      <c r="A725" s="1" t="s">
        <v>526</v>
      </c>
      <c r="B725" s="1" t="s">
        <v>20</v>
      </c>
      <c r="C725">
        <v>38.14</v>
      </c>
      <c r="D725">
        <v>4</v>
      </c>
      <c r="E725" s="1" t="s">
        <v>51</v>
      </c>
      <c r="F725">
        <v>15</v>
      </c>
      <c r="G725" s="1" t="s">
        <v>43</v>
      </c>
    </row>
    <row r="726" spans="1:7" x14ac:dyDescent="0.35">
      <c r="A726" s="1" t="s">
        <v>516</v>
      </c>
      <c r="B726" s="1" t="s">
        <v>9</v>
      </c>
      <c r="C726">
        <v>17.22</v>
      </c>
      <c r="D726">
        <v>5</v>
      </c>
      <c r="E726" s="1" t="s">
        <v>61</v>
      </c>
      <c r="F726">
        <v>0</v>
      </c>
      <c r="G726" s="1" t="s">
        <v>40</v>
      </c>
    </row>
    <row r="727" spans="1:7" x14ac:dyDescent="0.35">
      <c r="A727" s="1" t="s">
        <v>533</v>
      </c>
      <c r="B727" s="1" t="s">
        <v>11</v>
      </c>
      <c r="C727">
        <v>3.25</v>
      </c>
      <c r="D727">
        <v>4</v>
      </c>
      <c r="E727" s="1" t="s">
        <v>51</v>
      </c>
      <c r="F727">
        <v>17</v>
      </c>
      <c r="G727" s="1" t="s">
        <v>43</v>
      </c>
    </row>
    <row r="728" spans="1:7" x14ac:dyDescent="0.35">
      <c r="A728" s="1" t="s">
        <v>517</v>
      </c>
      <c r="B728" s="1" t="s">
        <v>8</v>
      </c>
      <c r="C728">
        <v>17.489999999999998</v>
      </c>
      <c r="D728">
        <v>4</v>
      </c>
      <c r="E728" s="1" t="s">
        <v>51</v>
      </c>
      <c r="F728">
        <v>11</v>
      </c>
      <c r="G728" s="1" t="s">
        <v>43</v>
      </c>
    </row>
    <row r="729" spans="1:7" x14ac:dyDescent="0.35">
      <c r="A729" s="1" t="s">
        <v>516</v>
      </c>
      <c r="B729" s="1" t="s">
        <v>19</v>
      </c>
      <c r="C729">
        <v>52.11</v>
      </c>
      <c r="D729">
        <v>5</v>
      </c>
      <c r="E729" s="1" t="s">
        <v>51</v>
      </c>
      <c r="F729">
        <v>19</v>
      </c>
      <c r="G729" s="1" t="s">
        <v>43</v>
      </c>
    </row>
    <row r="730" spans="1:7" x14ac:dyDescent="0.35">
      <c r="A730" s="1" t="s">
        <v>532</v>
      </c>
      <c r="B730" s="1" t="s">
        <v>6</v>
      </c>
      <c r="C730">
        <v>41.97</v>
      </c>
      <c r="D730">
        <v>3</v>
      </c>
      <c r="E730" s="1" t="s">
        <v>51</v>
      </c>
      <c r="F730">
        <v>22</v>
      </c>
      <c r="G730" s="1" t="s">
        <v>42</v>
      </c>
    </row>
    <row r="731" spans="1:7" x14ac:dyDescent="0.35">
      <c r="A731" s="1" t="s">
        <v>534</v>
      </c>
      <c r="B731" s="1" t="s">
        <v>7</v>
      </c>
      <c r="C731">
        <v>49.66</v>
      </c>
      <c r="D731">
        <v>3</v>
      </c>
      <c r="E731" s="1" t="s">
        <v>51</v>
      </c>
      <c r="F731">
        <v>21</v>
      </c>
      <c r="G731" s="1" t="s">
        <v>42</v>
      </c>
    </row>
    <row r="732" spans="1:7" x14ac:dyDescent="0.35">
      <c r="A732" s="1" t="s">
        <v>527</v>
      </c>
      <c r="B732" s="1" t="s">
        <v>22</v>
      </c>
      <c r="C732">
        <v>19.14</v>
      </c>
      <c r="D732">
        <v>3</v>
      </c>
      <c r="E732" s="1" t="s">
        <v>51</v>
      </c>
      <c r="F732">
        <v>11</v>
      </c>
      <c r="G732" s="1" t="s">
        <v>42</v>
      </c>
    </row>
    <row r="733" spans="1:7" x14ac:dyDescent="0.35">
      <c r="A733" s="1" t="s">
        <v>522</v>
      </c>
      <c r="B733" s="1" t="s">
        <v>5</v>
      </c>
      <c r="C733">
        <v>42.12</v>
      </c>
      <c r="D733">
        <v>4</v>
      </c>
      <c r="E733" s="1" t="s">
        <v>51</v>
      </c>
      <c r="F733">
        <v>3</v>
      </c>
      <c r="G733" s="1" t="s">
        <v>40</v>
      </c>
    </row>
    <row r="734" spans="1:7" x14ac:dyDescent="0.35">
      <c r="A734" s="1" t="s">
        <v>524</v>
      </c>
      <c r="B734" s="1" t="s">
        <v>6</v>
      </c>
      <c r="C734">
        <v>46.24</v>
      </c>
      <c r="D734">
        <v>4</v>
      </c>
      <c r="E734" s="1" t="s">
        <v>68</v>
      </c>
      <c r="F734">
        <v>11</v>
      </c>
      <c r="G734" s="1" t="s">
        <v>43</v>
      </c>
    </row>
    <row r="735" spans="1:7" x14ac:dyDescent="0.35">
      <c r="A735" s="1" t="s">
        <v>527</v>
      </c>
      <c r="B735" s="1" t="s">
        <v>29</v>
      </c>
      <c r="C735">
        <v>40.479999999999997</v>
      </c>
      <c r="D735">
        <v>4</v>
      </c>
      <c r="E735" s="1" t="s">
        <v>51</v>
      </c>
      <c r="F735">
        <v>19</v>
      </c>
      <c r="G735" s="1" t="s">
        <v>43</v>
      </c>
    </row>
    <row r="736" spans="1:7" x14ac:dyDescent="0.35">
      <c r="A736" s="1" t="s">
        <v>535</v>
      </c>
      <c r="B736" s="1" t="s">
        <v>23</v>
      </c>
      <c r="C736">
        <v>3.53</v>
      </c>
      <c r="D736">
        <v>5</v>
      </c>
      <c r="E736" s="1" t="s">
        <v>51</v>
      </c>
      <c r="F736">
        <v>8</v>
      </c>
      <c r="G736" s="1" t="s">
        <v>40</v>
      </c>
    </row>
    <row r="737" spans="1:7" x14ac:dyDescent="0.35">
      <c r="A737" s="1" t="s">
        <v>536</v>
      </c>
      <c r="B737" s="1" t="s">
        <v>11</v>
      </c>
      <c r="C737">
        <v>11.74</v>
      </c>
      <c r="D737">
        <v>2</v>
      </c>
      <c r="E737" s="1" t="s">
        <v>51</v>
      </c>
      <c r="F737">
        <v>17</v>
      </c>
      <c r="G737" s="1" t="s">
        <v>42</v>
      </c>
    </row>
    <row r="738" spans="1:7" x14ac:dyDescent="0.35">
      <c r="A738" s="1" t="s">
        <v>517</v>
      </c>
      <c r="B738" s="1" t="s">
        <v>21</v>
      </c>
      <c r="C738">
        <v>50.9</v>
      </c>
      <c r="D738">
        <v>5</v>
      </c>
      <c r="E738" s="1" t="s">
        <v>51</v>
      </c>
      <c r="F738">
        <v>12</v>
      </c>
      <c r="G738" s="1" t="s">
        <v>43</v>
      </c>
    </row>
    <row r="739" spans="1:7" x14ac:dyDescent="0.35">
      <c r="A739" s="1" t="s">
        <v>537</v>
      </c>
      <c r="B739" s="1" t="s">
        <v>23</v>
      </c>
      <c r="C739">
        <v>23.25</v>
      </c>
      <c r="D739">
        <v>1</v>
      </c>
      <c r="E739" s="1" t="s">
        <v>51</v>
      </c>
      <c r="F739">
        <v>8</v>
      </c>
      <c r="G739" s="1" t="s">
        <v>41</v>
      </c>
    </row>
    <row r="740" spans="1:7" x14ac:dyDescent="0.35">
      <c r="A740" s="1" t="s">
        <v>538</v>
      </c>
      <c r="B740" s="1" t="s">
        <v>20</v>
      </c>
      <c r="C740">
        <v>38.03</v>
      </c>
      <c r="D740">
        <v>4</v>
      </c>
      <c r="E740" s="1" t="s">
        <v>51</v>
      </c>
      <c r="F740">
        <v>19</v>
      </c>
      <c r="G740" s="1" t="s">
        <v>43</v>
      </c>
    </row>
    <row r="741" spans="1:7" x14ac:dyDescent="0.35">
      <c r="A741" s="1" t="s">
        <v>525</v>
      </c>
      <c r="B741" s="1" t="s">
        <v>27</v>
      </c>
      <c r="C741">
        <v>27.97</v>
      </c>
      <c r="D741">
        <v>3</v>
      </c>
      <c r="E741" s="1" t="s">
        <v>51</v>
      </c>
      <c r="F741">
        <v>7</v>
      </c>
      <c r="G741" s="1" t="s">
        <v>41</v>
      </c>
    </row>
    <row r="742" spans="1:7" x14ac:dyDescent="0.35">
      <c r="A742" s="1" t="s">
        <v>539</v>
      </c>
      <c r="B742" s="1" t="s">
        <v>14</v>
      </c>
      <c r="C742">
        <v>5.45</v>
      </c>
      <c r="D742">
        <v>3</v>
      </c>
      <c r="E742" s="1" t="s">
        <v>51</v>
      </c>
      <c r="F742">
        <v>5</v>
      </c>
      <c r="G742" s="1" t="s">
        <v>41</v>
      </c>
    </row>
    <row r="743" spans="1:7" x14ac:dyDescent="0.35">
      <c r="A743" s="1" t="s">
        <v>514</v>
      </c>
      <c r="B743" s="1" t="s">
        <v>2</v>
      </c>
      <c r="C743">
        <v>24.19</v>
      </c>
      <c r="D743">
        <v>3</v>
      </c>
      <c r="E743" s="1" t="s">
        <v>51</v>
      </c>
      <c r="F743">
        <v>11</v>
      </c>
      <c r="G743" s="1" t="s">
        <v>42</v>
      </c>
    </row>
    <row r="744" spans="1:7" x14ac:dyDescent="0.35">
      <c r="A744" s="1" t="s">
        <v>540</v>
      </c>
      <c r="B744" s="1" t="s">
        <v>29</v>
      </c>
      <c r="C744">
        <v>36.15</v>
      </c>
      <c r="D744">
        <v>5</v>
      </c>
      <c r="E744" s="1" t="s">
        <v>68</v>
      </c>
      <c r="F744">
        <v>4</v>
      </c>
      <c r="G744" s="1" t="s">
        <v>40</v>
      </c>
    </row>
    <row r="745" spans="1:7" x14ac:dyDescent="0.35">
      <c r="A745" s="1" t="s">
        <v>521</v>
      </c>
      <c r="B745" s="1" t="s">
        <v>28</v>
      </c>
      <c r="C745">
        <v>11.22</v>
      </c>
      <c r="D745">
        <v>5</v>
      </c>
      <c r="E745" s="1" t="s">
        <v>51</v>
      </c>
      <c r="F745">
        <v>18</v>
      </c>
      <c r="G745" s="1" t="s">
        <v>43</v>
      </c>
    </row>
    <row r="746" spans="1:7" x14ac:dyDescent="0.35">
      <c r="A746" s="1" t="s">
        <v>541</v>
      </c>
      <c r="B746" s="1" t="s">
        <v>2</v>
      </c>
      <c r="C746">
        <v>50.43</v>
      </c>
      <c r="D746">
        <v>5</v>
      </c>
      <c r="E746" s="1" t="s">
        <v>61</v>
      </c>
      <c r="F746">
        <v>0</v>
      </c>
      <c r="G746" s="1" t="s">
        <v>40</v>
      </c>
    </row>
    <row r="747" spans="1:7" x14ac:dyDescent="0.35">
      <c r="A747" s="1" t="s">
        <v>536</v>
      </c>
      <c r="B747" s="1" t="s">
        <v>6</v>
      </c>
      <c r="C747">
        <v>6.52</v>
      </c>
      <c r="D747">
        <v>5</v>
      </c>
      <c r="E747" s="1" t="s">
        <v>51</v>
      </c>
      <c r="F747">
        <v>6</v>
      </c>
      <c r="G747" s="1" t="s">
        <v>40</v>
      </c>
    </row>
    <row r="748" spans="1:7" x14ac:dyDescent="0.35">
      <c r="A748" s="1" t="s">
        <v>542</v>
      </c>
      <c r="B748" s="1" t="s">
        <v>14</v>
      </c>
      <c r="C748">
        <v>30.49</v>
      </c>
      <c r="D748">
        <v>4</v>
      </c>
      <c r="E748" s="1" t="s">
        <v>51</v>
      </c>
      <c r="F748">
        <v>13</v>
      </c>
      <c r="G748" s="1" t="s">
        <v>43</v>
      </c>
    </row>
    <row r="749" spans="1:7" x14ac:dyDescent="0.35">
      <c r="A749" s="1" t="s">
        <v>518</v>
      </c>
      <c r="B749" s="1" t="s">
        <v>5</v>
      </c>
      <c r="C749">
        <v>54.87</v>
      </c>
      <c r="D749">
        <v>1</v>
      </c>
      <c r="E749" s="1" t="s">
        <v>51</v>
      </c>
      <c r="F749">
        <v>2</v>
      </c>
      <c r="G749" s="1" t="s">
        <v>41</v>
      </c>
    </row>
    <row r="750" spans="1:7" x14ac:dyDescent="0.35">
      <c r="A750" s="1" t="s">
        <v>526</v>
      </c>
      <c r="B750" s="1" t="s">
        <v>29</v>
      </c>
      <c r="C750">
        <v>40.24</v>
      </c>
      <c r="D750">
        <v>3</v>
      </c>
      <c r="E750" s="1" t="s">
        <v>51</v>
      </c>
      <c r="F750">
        <v>5</v>
      </c>
      <c r="G750" s="1" t="s">
        <v>41</v>
      </c>
    </row>
    <row r="751" spans="1:7" x14ac:dyDescent="0.35">
      <c r="A751" s="1" t="s">
        <v>538</v>
      </c>
      <c r="B751" s="1" t="s">
        <v>14</v>
      </c>
      <c r="C751">
        <v>12.42</v>
      </c>
      <c r="D751">
        <v>5</v>
      </c>
      <c r="E751" s="1" t="s">
        <v>61</v>
      </c>
      <c r="F751">
        <v>0</v>
      </c>
      <c r="G751" s="1" t="s">
        <v>40</v>
      </c>
    </row>
    <row r="752" spans="1:7" x14ac:dyDescent="0.35">
      <c r="A752" s="1" t="s">
        <v>543</v>
      </c>
      <c r="B752" s="1" t="s">
        <v>5</v>
      </c>
      <c r="C752">
        <v>17.25</v>
      </c>
      <c r="D752">
        <v>4</v>
      </c>
      <c r="E752" s="1" t="s">
        <v>51</v>
      </c>
      <c r="F752">
        <v>11</v>
      </c>
      <c r="G752" s="1" t="s">
        <v>43</v>
      </c>
    </row>
    <row r="753" spans="1:7" x14ac:dyDescent="0.35">
      <c r="A753" s="1" t="s">
        <v>544</v>
      </c>
      <c r="B753" s="1" t="s">
        <v>12</v>
      </c>
      <c r="C753">
        <v>4.5599999999999996</v>
      </c>
      <c r="D753">
        <v>4</v>
      </c>
      <c r="E753" s="1" t="s">
        <v>51</v>
      </c>
      <c r="F753">
        <v>3</v>
      </c>
      <c r="G753" s="1" t="s">
        <v>40</v>
      </c>
    </row>
    <row r="754" spans="1:7" x14ac:dyDescent="0.35">
      <c r="A754" s="1" t="s">
        <v>545</v>
      </c>
      <c r="B754" s="1" t="s">
        <v>7</v>
      </c>
      <c r="C754">
        <v>2.91</v>
      </c>
      <c r="D754">
        <v>2</v>
      </c>
      <c r="E754" s="1" t="s">
        <v>51</v>
      </c>
      <c r="F754">
        <v>12</v>
      </c>
      <c r="G754" s="1" t="s">
        <v>42</v>
      </c>
    </row>
    <row r="755" spans="1:7" x14ac:dyDescent="0.35">
      <c r="A755" s="1" t="s">
        <v>546</v>
      </c>
      <c r="B755" s="1" t="s">
        <v>25</v>
      </c>
      <c r="C755">
        <v>50.64</v>
      </c>
      <c r="D755">
        <v>2</v>
      </c>
      <c r="E755" s="1" t="s">
        <v>51</v>
      </c>
      <c r="F755">
        <v>15</v>
      </c>
      <c r="G755" s="1" t="s">
        <v>42</v>
      </c>
    </row>
    <row r="756" spans="1:7" x14ac:dyDescent="0.35">
      <c r="A756" s="1" t="s">
        <v>547</v>
      </c>
      <c r="B756" s="1" t="s">
        <v>24</v>
      </c>
      <c r="C756">
        <v>3.51</v>
      </c>
      <c r="D756">
        <v>1</v>
      </c>
      <c r="E756" s="1" t="s">
        <v>51</v>
      </c>
      <c r="F756">
        <v>22</v>
      </c>
      <c r="G756" s="1" t="s">
        <v>42</v>
      </c>
    </row>
    <row r="757" spans="1:7" x14ac:dyDescent="0.35">
      <c r="A757" s="1" t="s">
        <v>548</v>
      </c>
      <c r="B757" s="1" t="s">
        <v>7</v>
      </c>
      <c r="C757">
        <v>22.3</v>
      </c>
      <c r="D757">
        <v>4</v>
      </c>
      <c r="E757" s="1" t="s">
        <v>51</v>
      </c>
      <c r="F757">
        <v>10</v>
      </c>
      <c r="G757" s="1" t="s">
        <v>40</v>
      </c>
    </row>
    <row r="758" spans="1:7" x14ac:dyDescent="0.35">
      <c r="A758" s="1" t="s">
        <v>549</v>
      </c>
      <c r="B758" s="1" t="s">
        <v>4</v>
      </c>
      <c r="C758">
        <v>48.41</v>
      </c>
      <c r="D758">
        <v>5</v>
      </c>
      <c r="E758" s="1" t="s">
        <v>51</v>
      </c>
      <c r="F758">
        <v>6</v>
      </c>
      <c r="G758" s="1" t="s">
        <v>40</v>
      </c>
    </row>
    <row r="759" spans="1:7" x14ac:dyDescent="0.35">
      <c r="A759" s="1" t="s">
        <v>550</v>
      </c>
      <c r="B759" s="1" t="s">
        <v>1</v>
      </c>
      <c r="C759">
        <v>6.91</v>
      </c>
      <c r="D759">
        <v>5</v>
      </c>
      <c r="E759" s="1" t="s">
        <v>51</v>
      </c>
      <c r="F759">
        <v>1</v>
      </c>
      <c r="G759" s="1" t="s">
        <v>40</v>
      </c>
    </row>
    <row r="760" spans="1:7" x14ac:dyDescent="0.35">
      <c r="A760" s="1" t="s">
        <v>543</v>
      </c>
      <c r="B760" s="1" t="s">
        <v>18</v>
      </c>
      <c r="C760">
        <v>42.08</v>
      </c>
      <c r="D760">
        <v>4</v>
      </c>
      <c r="E760" s="1" t="s">
        <v>51</v>
      </c>
      <c r="F760">
        <v>22</v>
      </c>
      <c r="G760" s="1" t="s">
        <v>43</v>
      </c>
    </row>
    <row r="761" spans="1:7" x14ac:dyDescent="0.35">
      <c r="A761" s="1" t="s">
        <v>551</v>
      </c>
      <c r="B761" s="1" t="s">
        <v>28</v>
      </c>
      <c r="C761">
        <v>28.33</v>
      </c>
      <c r="D761">
        <v>4</v>
      </c>
      <c r="E761" s="1" t="s">
        <v>51</v>
      </c>
      <c r="F761">
        <v>14</v>
      </c>
      <c r="G761" s="1" t="s">
        <v>43</v>
      </c>
    </row>
    <row r="762" spans="1:7" x14ac:dyDescent="0.35">
      <c r="A762" s="1" t="s">
        <v>552</v>
      </c>
      <c r="B762" s="1" t="s">
        <v>24</v>
      </c>
      <c r="C762">
        <v>40.51</v>
      </c>
      <c r="D762">
        <v>4</v>
      </c>
      <c r="E762" s="1" t="s">
        <v>51</v>
      </c>
      <c r="F762">
        <v>4</v>
      </c>
      <c r="G762" s="1" t="s">
        <v>40</v>
      </c>
    </row>
    <row r="763" spans="1:7" x14ac:dyDescent="0.35">
      <c r="A763" s="1" t="s">
        <v>553</v>
      </c>
      <c r="B763" s="1" t="s">
        <v>23</v>
      </c>
      <c r="C763">
        <v>50.61</v>
      </c>
      <c r="D763">
        <v>4</v>
      </c>
      <c r="E763" s="1" t="s">
        <v>51</v>
      </c>
      <c r="F763">
        <v>21</v>
      </c>
      <c r="G763" s="1" t="s">
        <v>43</v>
      </c>
    </row>
    <row r="764" spans="1:7" x14ac:dyDescent="0.35">
      <c r="A764" s="1" t="s">
        <v>554</v>
      </c>
      <c r="B764" s="1" t="s">
        <v>15</v>
      </c>
      <c r="C764">
        <v>5.93</v>
      </c>
      <c r="D764">
        <v>4</v>
      </c>
      <c r="E764" s="1" t="s">
        <v>51</v>
      </c>
      <c r="F764">
        <v>18</v>
      </c>
      <c r="G764" s="1" t="s">
        <v>43</v>
      </c>
    </row>
    <row r="765" spans="1:7" x14ac:dyDescent="0.35">
      <c r="A765" s="1" t="s">
        <v>555</v>
      </c>
      <c r="B765" s="1" t="s">
        <v>11</v>
      </c>
      <c r="C765">
        <v>55.69</v>
      </c>
      <c r="D765">
        <v>4</v>
      </c>
      <c r="E765" s="1" t="s">
        <v>51</v>
      </c>
      <c r="F765">
        <v>17</v>
      </c>
      <c r="G765" s="1" t="s">
        <v>43</v>
      </c>
    </row>
    <row r="766" spans="1:7" x14ac:dyDescent="0.35">
      <c r="A766" s="1" t="s">
        <v>556</v>
      </c>
      <c r="B766" s="1" t="s">
        <v>4</v>
      </c>
      <c r="C766">
        <v>5.96</v>
      </c>
      <c r="D766">
        <v>3</v>
      </c>
      <c r="E766" s="1" t="s">
        <v>68</v>
      </c>
      <c r="F766">
        <v>22</v>
      </c>
      <c r="G766" s="1" t="s">
        <v>42</v>
      </c>
    </row>
    <row r="767" spans="1:7" x14ac:dyDescent="0.35">
      <c r="A767" s="1" t="s">
        <v>557</v>
      </c>
      <c r="B767" s="1" t="s">
        <v>15</v>
      </c>
      <c r="C767">
        <v>16.260000000000002</v>
      </c>
      <c r="D767">
        <v>5</v>
      </c>
      <c r="E767" s="1" t="s">
        <v>51</v>
      </c>
      <c r="F767">
        <v>14</v>
      </c>
      <c r="G767" s="1" t="s">
        <v>43</v>
      </c>
    </row>
    <row r="768" spans="1:7" x14ac:dyDescent="0.35">
      <c r="A768" s="1" t="s">
        <v>558</v>
      </c>
      <c r="B768" s="1" t="s">
        <v>4</v>
      </c>
      <c r="C768">
        <v>38.82</v>
      </c>
      <c r="D768">
        <v>3</v>
      </c>
      <c r="E768" s="1" t="s">
        <v>51</v>
      </c>
      <c r="F768">
        <v>20</v>
      </c>
      <c r="G768" s="1" t="s">
        <v>42</v>
      </c>
    </row>
    <row r="769" spans="1:7" x14ac:dyDescent="0.35">
      <c r="A769" s="1" t="s">
        <v>559</v>
      </c>
      <c r="B769" s="1" t="s">
        <v>16</v>
      </c>
      <c r="C769">
        <v>21.98</v>
      </c>
      <c r="D769">
        <v>5</v>
      </c>
      <c r="E769" s="1" t="s">
        <v>68</v>
      </c>
      <c r="F769">
        <v>14</v>
      </c>
      <c r="G769" s="1" t="s">
        <v>43</v>
      </c>
    </row>
    <row r="770" spans="1:7" x14ac:dyDescent="0.35">
      <c r="A770" s="1" t="s">
        <v>560</v>
      </c>
      <c r="B770" s="1" t="s">
        <v>24</v>
      </c>
      <c r="C770">
        <v>27.26</v>
      </c>
      <c r="D770">
        <v>4</v>
      </c>
      <c r="E770" s="1" t="s">
        <v>51</v>
      </c>
      <c r="F770">
        <v>20</v>
      </c>
      <c r="G770" s="1" t="s">
        <v>43</v>
      </c>
    </row>
    <row r="771" spans="1:7" x14ac:dyDescent="0.35">
      <c r="A771" s="1" t="s">
        <v>561</v>
      </c>
      <c r="B771" s="1" t="s">
        <v>25</v>
      </c>
      <c r="C771">
        <v>43.46</v>
      </c>
      <c r="D771">
        <v>5</v>
      </c>
      <c r="E771" s="1" t="s">
        <v>51</v>
      </c>
      <c r="F771">
        <v>8</v>
      </c>
      <c r="G771" s="1" t="s">
        <v>40</v>
      </c>
    </row>
    <row r="772" spans="1:7" x14ac:dyDescent="0.35">
      <c r="A772" s="1" t="s">
        <v>548</v>
      </c>
      <c r="B772" s="1" t="s">
        <v>28</v>
      </c>
      <c r="C772">
        <v>42.12</v>
      </c>
      <c r="D772">
        <v>3</v>
      </c>
      <c r="E772" s="1" t="s">
        <v>51</v>
      </c>
      <c r="F772">
        <v>14</v>
      </c>
      <c r="G772" s="1" t="s">
        <v>42</v>
      </c>
    </row>
    <row r="773" spans="1:7" x14ac:dyDescent="0.35">
      <c r="A773" s="1" t="s">
        <v>562</v>
      </c>
      <c r="B773" s="1" t="s">
        <v>9</v>
      </c>
      <c r="C773">
        <v>50.16</v>
      </c>
      <c r="D773">
        <v>2</v>
      </c>
      <c r="E773" s="1" t="s">
        <v>51</v>
      </c>
      <c r="F773">
        <v>15</v>
      </c>
      <c r="G773" s="1" t="s">
        <v>42</v>
      </c>
    </row>
    <row r="774" spans="1:7" x14ac:dyDescent="0.35">
      <c r="A774" s="1" t="s">
        <v>563</v>
      </c>
      <c r="B774" s="1" t="s">
        <v>13</v>
      </c>
      <c r="C774">
        <v>33.42</v>
      </c>
      <c r="D774">
        <v>3</v>
      </c>
      <c r="E774" s="1" t="s">
        <v>51</v>
      </c>
      <c r="F774">
        <v>19</v>
      </c>
      <c r="G774" s="1" t="s">
        <v>42</v>
      </c>
    </row>
    <row r="775" spans="1:7" x14ac:dyDescent="0.35">
      <c r="A775" s="1" t="s">
        <v>564</v>
      </c>
      <c r="B775" s="1" t="s">
        <v>22</v>
      </c>
      <c r="C775">
        <v>53.45</v>
      </c>
      <c r="D775">
        <v>1</v>
      </c>
      <c r="E775" s="1" t="s">
        <v>51</v>
      </c>
      <c r="F775">
        <v>16</v>
      </c>
      <c r="G775" s="1" t="s">
        <v>42</v>
      </c>
    </row>
    <row r="776" spans="1:7" x14ac:dyDescent="0.35">
      <c r="A776" s="1" t="s">
        <v>557</v>
      </c>
      <c r="B776" s="1" t="s">
        <v>25</v>
      </c>
      <c r="C776">
        <v>1.45</v>
      </c>
      <c r="D776">
        <v>1</v>
      </c>
      <c r="E776" s="1" t="s">
        <v>51</v>
      </c>
      <c r="F776">
        <v>19</v>
      </c>
      <c r="G776" s="1" t="s">
        <v>42</v>
      </c>
    </row>
    <row r="777" spans="1:7" x14ac:dyDescent="0.35">
      <c r="A777" s="1" t="s">
        <v>565</v>
      </c>
      <c r="B777" s="1" t="s">
        <v>12</v>
      </c>
      <c r="C777">
        <v>10.55</v>
      </c>
      <c r="D777">
        <v>5</v>
      </c>
      <c r="E777" s="1" t="s">
        <v>61</v>
      </c>
      <c r="F777">
        <v>0</v>
      </c>
      <c r="G777" s="1" t="s">
        <v>40</v>
      </c>
    </row>
    <row r="778" spans="1:7" x14ac:dyDescent="0.35">
      <c r="A778" s="1" t="s">
        <v>549</v>
      </c>
      <c r="B778" s="1" t="s">
        <v>12</v>
      </c>
      <c r="C778">
        <v>48.13</v>
      </c>
      <c r="D778">
        <v>5</v>
      </c>
      <c r="E778" s="1" t="s">
        <v>51</v>
      </c>
      <c r="F778">
        <v>21</v>
      </c>
      <c r="G778" s="1" t="s">
        <v>43</v>
      </c>
    </row>
    <row r="779" spans="1:7" x14ac:dyDescent="0.35">
      <c r="A779" s="1" t="s">
        <v>566</v>
      </c>
      <c r="B779" s="1" t="s">
        <v>2</v>
      </c>
      <c r="C779">
        <v>27.66</v>
      </c>
      <c r="D779">
        <v>5</v>
      </c>
      <c r="E779" s="1" t="s">
        <v>51</v>
      </c>
      <c r="F779">
        <v>22</v>
      </c>
      <c r="G779" s="1" t="s">
        <v>43</v>
      </c>
    </row>
    <row r="780" spans="1:7" x14ac:dyDescent="0.35">
      <c r="A780" s="1" t="s">
        <v>551</v>
      </c>
      <c r="B780" s="1" t="s">
        <v>23</v>
      </c>
      <c r="C780">
        <v>1.36</v>
      </c>
      <c r="D780">
        <v>5</v>
      </c>
      <c r="E780" s="1" t="s">
        <v>51</v>
      </c>
      <c r="F780">
        <v>4</v>
      </c>
      <c r="G780" s="1" t="s">
        <v>40</v>
      </c>
    </row>
    <row r="781" spans="1:7" x14ac:dyDescent="0.35">
      <c r="A781" s="1" t="s">
        <v>567</v>
      </c>
      <c r="B781" s="1" t="s">
        <v>1</v>
      </c>
      <c r="C781">
        <v>47.75</v>
      </c>
      <c r="D781">
        <v>5</v>
      </c>
      <c r="E781" s="1" t="s">
        <v>51</v>
      </c>
      <c r="F781">
        <v>14</v>
      </c>
      <c r="G781" s="1" t="s">
        <v>43</v>
      </c>
    </row>
    <row r="782" spans="1:7" x14ac:dyDescent="0.35">
      <c r="A782" s="1" t="s">
        <v>555</v>
      </c>
      <c r="B782" s="1" t="s">
        <v>18</v>
      </c>
      <c r="C782">
        <v>10.96</v>
      </c>
      <c r="D782">
        <v>5</v>
      </c>
      <c r="E782" s="1" t="s">
        <v>61</v>
      </c>
      <c r="F782">
        <v>0</v>
      </c>
      <c r="G782" s="1" t="s">
        <v>40</v>
      </c>
    </row>
    <row r="783" spans="1:7" x14ac:dyDescent="0.35">
      <c r="A783" s="1" t="s">
        <v>568</v>
      </c>
      <c r="B783" s="1" t="s">
        <v>11</v>
      </c>
      <c r="C783">
        <v>9.59</v>
      </c>
      <c r="D783">
        <v>3</v>
      </c>
      <c r="E783" s="1" t="s">
        <v>68</v>
      </c>
      <c r="F783">
        <v>4</v>
      </c>
      <c r="G783" s="1" t="s">
        <v>41</v>
      </c>
    </row>
    <row r="784" spans="1:7" x14ac:dyDescent="0.35">
      <c r="A784" s="1" t="s">
        <v>567</v>
      </c>
      <c r="B784" s="1" t="s">
        <v>4</v>
      </c>
      <c r="C784">
        <v>18.309999999999999</v>
      </c>
      <c r="D784">
        <v>4</v>
      </c>
      <c r="E784" s="1" t="s">
        <v>51</v>
      </c>
      <c r="F784">
        <v>16</v>
      </c>
      <c r="G784" s="1" t="s">
        <v>43</v>
      </c>
    </row>
    <row r="785" spans="1:7" x14ac:dyDescent="0.35">
      <c r="A785" s="1" t="s">
        <v>569</v>
      </c>
      <c r="B785" s="1" t="s">
        <v>26</v>
      </c>
      <c r="C785">
        <v>38.479999999999997</v>
      </c>
      <c r="D785">
        <v>1</v>
      </c>
      <c r="E785" s="1" t="s">
        <v>51</v>
      </c>
      <c r="F785">
        <v>8</v>
      </c>
      <c r="G785" s="1" t="s">
        <v>41</v>
      </c>
    </row>
    <row r="786" spans="1:7" x14ac:dyDescent="0.35">
      <c r="A786" s="1" t="s">
        <v>570</v>
      </c>
      <c r="B786" s="1" t="s">
        <v>24</v>
      </c>
      <c r="C786">
        <v>17.91</v>
      </c>
      <c r="D786">
        <v>5</v>
      </c>
      <c r="E786" s="1" t="s">
        <v>68</v>
      </c>
      <c r="F786">
        <v>12</v>
      </c>
      <c r="G786" s="1" t="s">
        <v>43</v>
      </c>
    </row>
    <row r="787" spans="1:7" x14ac:dyDescent="0.35">
      <c r="A787" s="1" t="s">
        <v>562</v>
      </c>
      <c r="B787" s="1" t="s">
        <v>18</v>
      </c>
      <c r="C787">
        <v>41.48</v>
      </c>
      <c r="D787">
        <v>5</v>
      </c>
      <c r="E787" s="1" t="s">
        <v>51</v>
      </c>
      <c r="F787">
        <v>22</v>
      </c>
      <c r="G787" s="1" t="s">
        <v>43</v>
      </c>
    </row>
    <row r="788" spans="1:7" x14ac:dyDescent="0.35">
      <c r="A788" s="1" t="s">
        <v>571</v>
      </c>
      <c r="B788" s="1" t="s">
        <v>13</v>
      </c>
      <c r="C788">
        <v>4.59</v>
      </c>
      <c r="D788">
        <v>5</v>
      </c>
      <c r="E788" s="1" t="s">
        <v>51</v>
      </c>
      <c r="F788">
        <v>19</v>
      </c>
      <c r="G788" s="1" t="s">
        <v>43</v>
      </c>
    </row>
    <row r="789" spans="1:7" x14ac:dyDescent="0.35">
      <c r="A789" s="1" t="s">
        <v>572</v>
      </c>
      <c r="B789" s="1" t="s">
        <v>20</v>
      </c>
      <c r="C789">
        <v>39.270000000000003</v>
      </c>
      <c r="D789">
        <v>4</v>
      </c>
      <c r="E789" s="1" t="s">
        <v>51</v>
      </c>
      <c r="F789">
        <v>8</v>
      </c>
      <c r="G789" s="1" t="s">
        <v>40</v>
      </c>
    </row>
    <row r="790" spans="1:7" x14ac:dyDescent="0.35">
      <c r="A790" s="1" t="s">
        <v>546</v>
      </c>
      <c r="B790" s="1" t="s">
        <v>28</v>
      </c>
      <c r="C790">
        <v>10.9</v>
      </c>
      <c r="D790">
        <v>2</v>
      </c>
      <c r="E790" s="1" t="s">
        <v>51</v>
      </c>
      <c r="F790">
        <v>1</v>
      </c>
      <c r="G790" s="1" t="s">
        <v>41</v>
      </c>
    </row>
    <row r="791" spans="1:7" x14ac:dyDescent="0.35">
      <c r="A791" s="1" t="s">
        <v>573</v>
      </c>
      <c r="B791" s="1" t="s">
        <v>20</v>
      </c>
      <c r="C791">
        <v>5.93</v>
      </c>
      <c r="D791">
        <v>3</v>
      </c>
      <c r="E791" s="1" t="s">
        <v>51</v>
      </c>
      <c r="F791">
        <v>3</v>
      </c>
      <c r="G791" s="1" t="s">
        <v>41</v>
      </c>
    </row>
    <row r="792" spans="1:7" x14ac:dyDescent="0.35">
      <c r="A792" s="1" t="s">
        <v>574</v>
      </c>
      <c r="B792" s="1" t="s">
        <v>7</v>
      </c>
      <c r="C792">
        <v>25.11</v>
      </c>
      <c r="D792">
        <v>5</v>
      </c>
      <c r="E792" s="1" t="s">
        <v>51</v>
      </c>
      <c r="F792">
        <v>22</v>
      </c>
      <c r="G792" s="1" t="s">
        <v>43</v>
      </c>
    </row>
    <row r="793" spans="1:7" x14ac:dyDescent="0.35">
      <c r="A793" s="1" t="s">
        <v>563</v>
      </c>
      <c r="B793" s="1" t="s">
        <v>26</v>
      </c>
      <c r="C793">
        <v>3.72</v>
      </c>
      <c r="D793">
        <v>4</v>
      </c>
      <c r="E793" s="1" t="s">
        <v>68</v>
      </c>
      <c r="F793">
        <v>13</v>
      </c>
      <c r="G793" s="1" t="s">
        <v>43</v>
      </c>
    </row>
    <row r="794" spans="1:7" x14ac:dyDescent="0.35">
      <c r="A794" s="1" t="s">
        <v>560</v>
      </c>
      <c r="B794" s="1" t="s">
        <v>16</v>
      </c>
      <c r="C794">
        <v>55.05</v>
      </c>
      <c r="D794">
        <v>3</v>
      </c>
      <c r="E794" s="1" t="s">
        <v>51</v>
      </c>
      <c r="F794">
        <v>2</v>
      </c>
      <c r="G794" s="1" t="s">
        <v>41</v>
      </c>
    </row>
    <row r="795" spans="1:7" x14ac:dyDescent="0.35">
      <c r="A795" s="1" t="s">
        <v>543</v>
      </c>
      <c r="B795" s="1" t="s">
        <v>20</v>
      </c>
      <c r="C795">
        <v>33.76</v>
      </c>
      <c r="D795">
        <v>5</v>
      </c>
      <c r="E795" s="1" t="s">
        <v>51</v>
      </c>
      <c r="F795">
        <v>16</v>
      </c>
      <c r="G795" s="1" t="s">
        <v>43</v>
      </c>
    </row>
    <row r="796" spans="1:7" x14ac:dyDescent="0.35">
      <c r="A796" s="1" t="s">
        <v>550</v>
      </c>
      <c r="B796" s="1" t="s">
        <v>5</v>
      </c>
      <c r="C796">
        <v>26.46</v>
      </c>
      <c r="D796">
        <v>5</v>
      </c>
      <c r="E796" s="1" t="s">
        <v>61</v>
      </c>
      <c r="F796">
        <v>0</v>
      </c>
      <c r="G796" s="1" t="s">
        <v>40</v>
      </c>
    </row>
    <row r="797" spans="1:7" x14ac:dyDescent="0.35">
      <c r="A797" s="1" t="s">
        <v>566</v>
      </c>
      <c r="B797" s="1" t="s">
        <v>24</v>
      </c>
      <c r="C797">
        <v>19.54</v>
      </c>
      <c r="D797">
        <v>5</v>
      </c>
      <c r="E797" s="1" t="s">
        <v>51</v>
      </c>
      <c r="F797">
        <v>15</v>
      </c>
      <c r="G797" s="1" t="s">
        <v>43</v>
      </c>
    </row>
    <row r="798" spans="1:7" x14ac:dyDescent="0.35">
      <c r="A798" s="1" t="s">
        <v>551</v>
      </c>
      <c r="B798" s="1" t="s">
        <v>8</v>
      </c>
      <c r="C798">
        <v>9.31</v>
      </c>
      <c r="D798">
        <v>5</v>
      </c>
      <c r="E798" s="1" t="s">
        <v>51</v>
      </c>
      <c r="F798">
        <v>19</v>
      </c>
      <c r="G798" s="1" t="s">
        <v>43</v>
      </c>
    </row>
    <row r="799" spans="1:7" x14ac:dyDescent="0.35">
      <c r="A799" s="1" t="s">
        <v>572</v>
      </c>
      <c r="B799" s="1" t="s">
        <v>3</v>
      </c>
      <c r="C799">
        <v>50.84</v>
      </c>
      <c r="D799">
        <v>2</v>
      </c>
      <c r="E799" s="1" t="s">
        <v>68</v>
      </c>
      <c r="F799">
        <v>12</v>
      </c>
      <c r="G799" s="1" t="s">
        <v>42</v>
      </c>
    </row>
    <row r="800" spans="1:7" x14ac:dyDescent="0.35">
      <c r="A800" s="1" t="s">
        <v>575</v>
      </c>
      <c r="B800" s="1" t="s">
        <v>24</v>
      </c>
      <c r="C800">
        <v>10.61</v>
      </c>
      <c r="D800">
        <v>4</v>
      </c>
      <c r="E800" s="1" t="s">
        <v>51</v>
      </c>
      <c r="F800">
        <v>9</v>
      </c>
      <c r="G800" s="1" t="s">
        <v>40</v>
      </c>
    </row>
    <row r="801" spans="1:7" x14ac:dyDescent="0.35">
      <c r="A801" s="1" t="s">
        <v>552</v>
      </c>
      <c r="B801" s="1" t="s">
        <v>25</v>
      </c>
      <c r="C801">
        <v>4.8899999999999997</v>
      </c>
      <c r="D801">
        <v>5</v>
      </c>
      <c r="E801" s="1" t="s">
        <v>61</v>
      </c>
      <c r="F801">
        <v>0</v>
      </c>
      <c r="G801" s="1" t="s">
        <v>40</v>
      </c>
    </row>
    <row r="802" spans="1:7" x14ac:dyDescent="0.35">
      <c r="A802" s="1" t="s">
        <v>576</v>
      </c>
      <c r="B802" s="1" t="s">
        <v>19</v>
      </c>
      <c r="C802">
        <v>51.86</v>
      </c>
      <c r="D802">
        <v>4</v>
      </c>
      <c r="E802" s="1" t="s">
        <v>51</v>
      </c>
      <c r="F802">
        <v>5</v>
      </c>
      <c r="G802" s="1" t="s">
        <v>40</v>
      </c>
    </row>
    <row r="803" spans="1:7" x14ac:dyDescent="0.35">
      <c r="A803" s="1" t="s">
        <v>577</v>
      </c>
      <c r="B803" s="1" t="s">
        <v>2</v>
      </c>
      <c r="C803">
        <v>39.1</v>
      </c>
      <c r="D803">
        <v>5</v>
      </c>
      <c r="E803" s="1" t="s">
        <v>51</v>
      </c>
      <c r="F803">
        <v>14</v>
      </c>
      <c r="G803" s="1" t="s">
        <v>43</v>
      </c>
    </row>
    <row r="804" spans="1:7" x14ac:dyDescent="0.35">
      <c r="A804" s="1" t="s">
        <v>578</v>
      </c>
      <c r="B804" s="1" t="s">
        <v>2</v>
      </c>
      <c r="C804">
        <v>32.76</v>
      </c>
      <c r="D804">
        <v>3</v>
      </c>
      <c r="E804" s="1" t="s">
        <v>51</v>
      </c>
      <c r="F804">
        <v>3</v>
      </c>
      <c r="G804" s="1" t="s">
        <v>41</v>
      </c>
    </row>
    <row r="805" spans="1:7" x14ac:dyDescent="0.35">
      <c r="A805" s="1" t="s">
        <v>579</v>
      </c>
      <c r="B805" s="1" t="s">
        <v>17</v>
      </c>
      <c r="C805">
        <v>52.4</v>
      </c>
      <c r="D805">
        <v>3</v>
      </c>
      <c r="E805" s="1" t="s">
        <v>51</v>
      </c>
      <c r="F805">
        <v>13</v>
      </c>
      <c r="G805" s="1" t="s">
        <v>42</v>
      </c>
    </row>
    <row r="806" spans="1:7" x14ac:dyDescent="0.35">
      <c r="A806" s="1" t="s">
        <v>580</v>
      </c>
      <c r="B806" s="1" t="s">
        <v>2</v>
      </c>
      <c r="C806">
        <v>54.55</v>
      </c>
      <c r="D806">
        <v>5</v>
      </c>
      <c r="E806" s="1" t="s">
        <v>51</v>
      </c>
      <c r="F806">
        <v>5</v>
      </c>
      <c r="G806" s="1" t="s">
        <v>40</v>
      </c>
    </row>
    <row r="807" spans="1:7" x14ac:dyDescent="0.35">
      <c r="A807" s="1" t="s">
        <v>581</v>
      </c>
      <c r="B807" s="1" t="s">
        <v>16</v>
      </c>
      <c r="C807">
        <v>20.66</v>
      </c>
      <c r="D807">
        <v>5</v>
      </c>
      <c r="E807" s="1" t="s">
        <v>51</v>
      </c>
      <c r="F807">
        <v>16</v>
      </c>
      <c r="G807" s="1" t="s">
        <v>43</v>
      </c>
    </row>
    <row r="808" spans="1:7" x14ac:dyDescent="0.35">
      <c r="A808" s="1" t="s">
        <v>582</v>
      </c>
      <c r="B808" s="1" t="s">
        <v>9</v>
      </c>
      <c r="C808">
        <v>41.23</v>
      </c>
      <c r="D808">
        <v>2</v>
      </c>
      <c r="E808" s="1" t="s">
        <v>51</v>
      </c>
      <c r="F808">
        <v>6</v>
      </c>
      <c r="G808" s="1" t="s">
        <v>41</v>
      </c>
    </row>
    <row r="809" spans="1:7" x14ac:dyDescent="0.35">
      <c r="A809" s="1" t="s">
        <v>583</v>
      </c>
      <c r="B809" s="1" t="s">
        <v>21</v>
      </c>
      <c r="C809">
        <v>52.43</v>
      </c>
      <c r="D809">
        <v>2</v>
      </c>
      <c r="E809" s="1" t="s">
        <v>51</v>
      </c>
      <c r="F809">
        <v>14</v>
      </c>
      <c r="G809" s="1" t="s">
        <v>42</v>
      </c>
    </row>
    <row r="810" spans="1:7" x14ac:dyDescent="0.35">
      <c r="A810" s="1" t="s">
        <v>584</v>
      </c>
      <c r="B810" s="1" t="s">
        <v>23</v>
      </c>
      <c r="C810">
        <v>57.39</v>
      </c>
      <c r="D810">
        <v>4</v>
      </c>
      <c r="E810" s="1" t="s">
        <v>51</v>
      </c>
      <c r="F810">
        <v>7</v>
      </c>
      <c r="G810" s="1" t="s">
        <v>40</v>
      </c>
    </row>
    <row r="811" spans="1:7" x14ac:dyDescent="0.35">
      <c r="A811" s="1" t="s">
        <v>585</v>
      </c>
      <c r="B811" s="1" t="s">
        <v>30</v>
      </c>
      <c r="C811">
        <v>43.55</v>
      </c>
      <c r="D811">
        <v>3</v>
      </c>
      <c r="E811" s="1" t="s">
        <v>68</v>
      </c>
      <c r="F811">
        <v>4</v>
      </c>
      <c r="G811" s="1" t="s">
        <v>41</v>
      </c>
    </row>
    <row r="812" spans="1:7" x14ac:dyDescent="0.35">
      <c r="A812" s="1" t="s">
        <v>586</v>
      </c>
      <c r="B812" s="1" t="s">
        <v>29</v>
      </c>
      <c r="C812">
        <v>11.28</v>
      </c>
      <c r="D812">
        <v>4</v>
      </c>
      <c r="E812" s="1" t="s">
        <v>51</v>
      </c>
      <c r="F812">
        <v>8</v>
      </c>
      <c r="G812" s="1" t="s">
        <v>40</v>
      </c>
    </row>
    <row r="813" spans="1:7" x14ac:dyDescent="0.35">
      <c r="A813" s="1" t="s">
        <v>587</v>
      </c>
      <c r="B813" s="1" t="s">
        <v>22</v>
      </c>
      <c r="C813">
        <v>43.3</v>
      </c>
      <c r="D813">
        <v>4</v>
      </c>
      <c r="E813" s="1" t="s">
        <v>51</v>
      </c>
      <c r="F813">
        <v>8</v>
      </c>
      <c r="G813" s="1" t="s">
        <v>40</v>
      </c>
    </row>
    <row r="814" spans="1:7" x14ac:dyDescent="0.35">
      <c r="A814" s="1" t="s">
        <v>588</v>
      </c>
      <c r="B814" s="1" t="s">
        <v>6</v>
      </c>
      <c r="C814">
        <v>10.27</v>
      </c>
      <c r="D814">
        <v>3</v>
      </c>
      <c r="E814" s="1" t="s">
        <v>51</v>
      </c>
      <c r="F814">
        <v>21</v>
      </c>
      <c r="G814" s="1" t="s">
        <v>42</v>
      </c>
    </row>
    <row r="815" spans="1:7" x14ac:dyDescent="0.35">
      <c r="A815" s="1" t="s">
        <v>589</v>
      </c>
      <c r="B815" s="1" t="s">
        <v>10</v>
      </c>
      <c r="C815">
        <v>19.149999999999999</v>
      </c>
      <c r="D815">
        <v>5</v>
      </c>
      <c r="E815" s="1" t="s">
        <v>51</v>
      </c>
      <c r="F815">
        <v>2</v>
      </c>
      <c r="G815" s="1" t="s">
        <v>40</v>
      </c>
    </row>
    <row r="816" spans="1:7" x14ac:dyDescent="0.35">
      <c r="A816" s="1" t="s">
        <v>577</v>
      </c>
      <c r="B816" s="1" t="s">
        <v>2</v>
      </c>
      <c r="C816">
        <v>9.0299999999999994</v>
      </c>
      <c r="D816">
        <v>5</v>
      </c>
      <c r="E816" s="1" t="s">
        <v>51</v>
      </c>
      <c r="F816">
        <v>22</v>
      </c>
      <c r="G816" s="1" t="s">
        <v>43</v>
      </c>
    </row>
    <row r="817" spans="1:7" x14ac:dyDescent="0.35">
      <c r="A817" s="1" t="s">
        <v>584</v>
      </c>
      <c r="B817" s="1" t="s">
        <v>10</v>
      </c>
      <c r="C817">
        <v>57.23</v>
      </c>
      <c r="D817">
        <v>3</v>
      </c>
      <c r="E817" s="1" t="s">
        <v>51</v>
      </c>
      <c r="F817">
        <v>6</v>
      </c>
      <c r="G817" s="1" t="s">
        <v>41</v>
      </c>
    </row>
    <row r="818" spans="1:7" x14ac:dyDescent="0.35">
      <c r="A818" s="1" t="s">
        <v>590</v>
      </c>
      <c r="B818" s="1" t="s">
        <v>20</v>
      </c>
      <c r="C818">
        <v>1.36</v>
      </c>
      <c r="D818">
        <v>3</v>
      </c>
      <c r="E818" s="1" t="s">
        <v>51</v>
      </c>
      <c r="F818">
        <v>6</v>
      </c>
      <c r="G818" s="1" t="s">
        <v>41</v>
      </c>
    </row>
    <row r="819" spans="1:7" x14ac:dyDescent="0.35">
      <c r="A819" s="1" t="s">
        <v>591</v>
      </c>
      <c r="B819" s="1" t="s">
        <v>21</v>
      </c>
      <c r="C819">
        <v>20.6</v>
      </c>
      <c r="D819">
        <v>4</v>
      </c>
      <c r="E819" s="1" t="s">
        <v>51</v>
      </c>
      <c r="F819">
        <v>11</v>
      </c>
      <c r="G819" s="1" t="s">
        <v>43</v>
      </c>
    </row>
    <row r="820" spans="1:7" x14ac:dyDescent="0.35">
      <c r="A820" s="1" t="s">
        <v>576</v>
      </c>
      <c r="B820" s="1" t="s">
        <v>22</v>
      </c>
      <c r="C820">
        <v>36.9</v>
      </c>
      <c r="D820">
        <v>3</v>
      </c>
      <c r="E820" s="1" t="s">
        <v>68</v>
      </c>
      <c r="F820">
        <v>16</v>
      </c>
      <c r="G820" s="1" t="s">
        <v>42</v>
      </c>
    </row>
    <row r="821" spans="1:7" x14ac:dyDescent="0.35">
      <c r="A821" s="1" t="s">
        <v>581</v>
      </c>
      <c r="B821" s="1" t="s">
        <v>19</v>
      </c>
      <c r="C821">
        <v>58.77</v>
      </c>
      <c r="D821">
        <v>2</v>
      </c>
      <c r="E821" s="1" t="s">
        <v>61</v>
      </c>
      <c r="F821">
        <v>0</v>
      </c>
      <c r="G821" s="1" t="s">
        <v>41</v>
      </c>
    </row>
    <row r="822" spans="1:7" x14ac:dyDescent="0.35">
      <c r="A822" s="1" t="s">
        <v>592</v>
      </c>
      <c r="B822" s="1" t="s">
        <v>11</v>
      </c>
      <c r="C822">
        <v>38</v>
      </c>
      <c r="D822">
        <v>1</v>
      </c>
      <c r="E822" s="1" t="s">
        <v>51</v>
      </c>
      <c r="F822">
        <v>7</v>
      </c>
      <c r="G822" s="1" t="s">
        <v>41</v>
      </c>
    </row>
    <row r="823" spans="1:7" x14ac:dyDescent="0.35">
      <c r="A823" s="1" t="s">
        <v>593</v>
      </c>
      <c r="B823" s="1" t="s">
        <v>1</v>
      </c>
      <c r="C823">
        <v>20.79</v>
      </c>
      <c r="D823">
        <v>1</v>
      </c>
      <c r="E823" s="1" t="s">
        <v>51</v>
      </c>
      <c r="F823">
        <v>7</v>
      </c>
      <c r="G823" s="1" t="s">
        <v>41</v>
      </c>
    </row>
    <row r="824" spans="1:7" x14ac:dyDescent="0.35">
      <c r="A824" s="1" t="s">
        <v>594</v>
      </c>
      <c r="B824" s="1" t="s">
        <v>27</v>
      </c>
      <c r="C824">
        <v>25.52</v>
      </c>
      <c r="D824">
        <v>5</v>
      </c>
      <c r="E824" s="1" t="s">
        <v>51</v>
      </c>
      <c r="F824">
        <v>3</v>
      </c>
      <c r="G824" s="1" t="s">
        <v>40</v>
      </c>
    </row>
    <row r="825" spans="1:7" x14ac:dyDescent="0.35">
      <c r="A825" s="1" t="s">
        <v>595</v>
      </c>
      <c r="B825" s="1" t="s">
        <v>14</v>
      </c>
      <c r="C825">
        <v>5.79</v>
      </c>
      <c r="D825">
        <v>5</v>
      </c>
      <c r="E825" s="1" t="s">
        <v>61</v>
      </c>
      <c r="F825">
        <v>0</v>
      </c>
      <c r="G825" s="1" t="s">
        <v>40</v>
      </c>
    </row>
    <row r="826" spans="1:7" x14ac:dyDescent="0.35">
      <c r="A826" s="1" t="s">
        <v>596</v>
      </c>
      <c r="B826" s="1" t="s">
        <v>2</v>
      </c>
      <c r="C826">
        <v>24.23</v>
      </c>
      <c r="D826">
        <v>4</v>
      </c>
      <c r="E826" s="1" t="s">
        <v>51</v>
      </c>
      <c r="F826">
        <v>10</v>
      </c>
      <c r="G826" s="1" t="s">
        <v>40</v>
      </c>
    </row>
    <row r="827" spans="1:7" x14ac:dyDescent="0.35">
      <c r="A827" s="1" t="s">
        <v>597</v>
      </c>
      <c r="B827" s="1" t="s">
        <v>6</v>
      </c>
      <c r="C827">
        <v>10.97</v>
      </c>
      <c r="D827">
        <v>2</v>
      </c>
      <c r="E827" s="1" t="s">
        <v>68</v>
      </c>
      <c r="F827">
        <v>4</v>
      </c>
      <c r="G827" s="1" t="s">
        <v>41</v>
      </c>
    </row>
    <row r="828" spans="1:7" x14ac:dyDescent="0.35">
      <c r="A828" s="1" t="s">
        <v>598</v>
      </c>
      <c r="B828" s="1" t="s">
        <v>11</v>
      </c>
      <c r="C828">
        <v>30.08</v>
      </c>
      <c r="D828">
        <v>5</v>
      </c>
      <c r="E828" s="1" t="s">
        <v>61</v>
      </c>
      <c r="F828">
        <v>0</v>
      </c>
      <c r="G828" s="1" t="s">
        <v>40</v>
      </c>
    </row>
    <row r="829" spans="1:7" x14ac:dyDescent="0.35">
      <c r="A829" s="1" t="s">
        <v>599</v>
      </c>
      <c r="B829" s="1" t="s">
        <v>7</v>
      </c>
      <c r="C829">
        <v>56.88</v>
      </c>
      <c r="D829">
        <v>5</v>
      </c>
      <c r="E829" s="1" t="s">
        <v>51</v>
      </c>
      <c r="F829">
        <v>12</v>
      </c>
      <c r="G829" s="1" t="s">
        <v>43</v>
      </c>
    </row>
    <row r="830" spans="1:7" x14ac:dyDescent="0.35">
      <c r="A830" s="1" t="s">
        <v>600</v>
      </c>
      <c r="B830" s="1" t="s">
        <v>6</v>
      </c>
      <c r="C830">
        <v>28.54</v>
      </c>
      <c r="D830">
        <v>5</v>
      </c>
      <c r="E830" s="1" t="s">
        <v>68</v>
      </c>
      <c r="F830">
        <v>19</v>
      </c>
      <c r="G830" s="1" t="s">
        <v>43</v>
      </c>
    </row>
    <row r="831" spans="1:7" x14ac:dyDescent="0.35">
      <c r="A831" s="1" t="s">
        <v>586</v>
      </c>
      <c r="B831" s="1" t="s">
        <v>12</v>
      </c>
      <c r="C831">
        <v>24.18</v>
      </c>
      <c r="D831">
        <v>5</v>
      </c>
      <c r="E831" s="1" t="s">
        <v>51</v>
      </c>
      <c r="F831">
        <v>17</v>
      </c>
      <c r="G831" s="1" t="s">
        <v>43</v>
      </c>
    </row>
    <row r="832" spans="1:7" x14ac:dyDescent="0.35">
      <c r="A832" s="1" t="s">
        <v>601</v>
      </c>
      <c r="B832" s="1" t="s">
        <v>8</v>
      </c>
      <c r="C832">
        <v>45.86</v>
      </c>
      <c r="D832">
        <v>4</v>
      </c>
      <c r="E832" s="1" t="s">
        <v>51</v>
      </c>
      <c r="F832">
        <v>12</v>
      </c>
      <c r="G832" s="1" t="s">
        <v>43</v>
      </c>
    </row>
    <row r="833" spans="1:7" x14ac:dyDescent="0.35">
      <c r="A833" s="1" t="s">
        <v>581</v>
      </c>
      <c r="B833" s="1" t="s">
        <v>4</v>
      </c>
      <c r="C833">
        <v>57.26</v>
      </c>
      <c r="D833">
        <v>4</v>
      </c>
      <c r="E833" s="1" t="s">
        <v>51</v>
      </c>
      <c r="F833">
        <v>8</v>
      </c>
      <c r="G833" s="1" t="s">
        <v>40</v>
      </c>
    </row>
    <row r="834" spans="1:7" x14ac:dyDescent="0.35">
      <c r="A834" s="1" t="s">
        <v>580</v>
      </c>
      <c r="B834" s="1" t="s">
        <v>18</v>
      </c>
      <c r="C834">
        <v>41.48</v>
      </c>
      <c r="D834">
        <v>2</v>
      </c>
      <c r="E834" s="1" t="s">
        <v>61</v>
      </c>
      <c r="F834">
        <v>0</v>
      </c>
      <c r="G834" s="1" t="s">
        <v>41</v>
      </c>
    </row>
    <row r="835" spans="1:7" x14ac:dyDescent="0.35">
      <c r="A835" s="1" t="s">
        <v>602</v>
      </c>
      <c r="B835" s="1" t="s">
        <v>2</v>
      </c>
      <c r="C835">
        <v>28.17</v>
      </c>
      <c r="D835">
        <v>3</v>
      </c>
      <c r="E835" s="1" t="s">
        <v>51</v>
      </c>
      <c r="F835">
        <v>22</v>
      </c>
      <c r="G835" s="1" t="s">
        <v>42</v>
      </c>
    </row>
    <row r="836" spans="1:7" x14ac:dyDescent="0.35">
      <c r="A836" s="1" t="s">
        <v>586</v>
      </c>
      <c r="B836" s="1" t="s">
        <v>4</v>
      </c>
      <c r="C836">
        <v>20.11</v>
      </c>
      <c r="D836">
        <v>3</v>
      </c>
      <c r="E836" s="1" t="s">
        <v>51</v>
      </c>
      <c r="F836">
        <v>4</v>
      </c>
      <c r="G836" s="1" t="s">
        <v>41</v>
      </c>
    </row>
    <row r="837" spans="1:7" x14ac:dyDescent="0.35">
      <c r="A837" s="1" t="s">
        <v>603</v>
      </c>
      <c r="B837" s="1" t="s">
        <v>25</v>
      </c>
      <c r="C837">
        <v>51.52</v>
      </c>
      <c r="D837">
        <v>3</v>
      </c>
      <c r="E837" s="1" t="s">
        <v>51</v>
      </c>
      <c r="F837">
        <v>10</v>
      </c>
      <c r="G837" s="1" t="s">
        <v>41</v>
      </c>
    </row>
    <row r="838" spans="1:7" x14ac:dyDescent="0.35">
      <c r="A838" s="1" t="s">
        <v>584</v>
      </c>
      <c r="B838" s="1" t="s">
        <v>23</v>
      </c>
      <c r="C838">
        <v>12.71</v>
      </c>
      <c r="D838">
        <v>3</v>
      </c>
      <c r="E838" s="1" t="s">
        <v>51</v>
      </c>
      <c r="F838">
        <v>12</v>
      </c>
      <c r="G838" s="1" t="s">
        <v>42</v>
      </c>
    </row>
    <row r="839" spans="1:7" x14ac:dyDescent="0.35">
      <c r="A839" s="1" t="s">
        <v>604</v>
      </c>
      <c r="B839" s="1" t="s">
        <v>16</v>
      </c>
      <c r="C839">
        <v>14.84</v>
      </c>
      <c r="D839">
        <v>3</v>
      </c>
      <c r="E839" s="1" t="s">
        <v>51</v>
      </c>
      <c r="F839">
        <v>15</v>
      </c>
      <c r="G839" s="1" t="s">
        <v>42</v>
      </c>
    </row>
    <row r="840" spans="1:7" x14ac:dyDescent="0.35">
      <c r="A840" s="1" t="s">
        <v>605</v>
      </c>
      <c r="B840" s="1" t="s">
        <v>23</v>
      </c>
      <c r="C840">
        <v>28.7</v>
      </c>
      <c r="D840">
        <v>2</v>
      </c>
      <c r="E840" s="1" t="s">
        <v>51</v>
      </c>
      <c r="F840">
        <v>15</v>
      </c>
      <c r="G840" s="1" t="s">
        <v>42</v>
      </c>
    </row>
    <row r="841" spans="1:7" x14ac:dyDescent="0.35">
      <c r="A841" s="1" t="s">
        <v>585</v>
      </c>
      <c r="B841" s="1" t="s">
        <v>10</v>
      </c>
      <c r="C841">
        <v>53.68</v>
      </c>
      <c r="D841">
        <v>4</v>
      </c>
      <c r="E841" s="1" t="s">
        <v>51</v>
      </c>
      <c r="F841">
        <v>6</v>
      </c>
      <c r="G841" s="1" t="s">
        <v>40</v>
      </c>
    </row>
    <row r="842" spans="1:7" x14ac:dyDescent="0.35">
      <c r="A842" s="1" t="s">
        <v>606</v>
      </c>
      <c r="B842" s="1" t="s">
        <v>26</v>
      </c>
      <c r="C842">
        <v>58.96</v>
      </c>
      <c r="D842">
        <v>2</v>
      </c>
      <c r="E842" s="1" t="s">
        <v>51</v>
      </c>
      <c r="F842">
        <v>17</v>
      </c>
      <c r="G842" s="1" t="s">
        <v>42</v>
      </c>
    </row>
    <row r="843" spans="1:7" x14ac:dyDescent="0.35">
      <c r="A843" s="1" t="s">
        <v>594</v>
      </c>
      <c r="B843" s="1" t="s">
        <v>8</v>
      </c>
      <c r="C843">
        <v>49.43</v>
      </c>
      <c r="D843">
        <v>4</v>
      </c>
      <c r="E843" s="1" t="s">
        <v>61</v>
      </c>
      <c r="F843">
        <v>0</v>
      </c>
      <c r="G843" s="1" t="s">
        <v>40</v>
      </c>
    </row>
    <row r="844" spans="1:7" x14ac:dyDescent="0.35">
      <c r="A844" s="1" t="s">
        <v>583</v>
      </c>
      <c r="B844" s="1" t="s">
        <v>25</v>
      </c>
      <c r="C844">
        <v>40.46</v>
      </c>
      <c r="D844">
        <v>3</v>
      </c>
      <c r="E844" s="1" t="s">
        <v>51</v>
      </c>
      <c r="F844">
        <v>10</v>
      </c>
      <c r="G844" s="1" t="s">
        <v>41</v>
      </c>
    </row>
    <row r="845" spans="1:7" x14ac:dyDescent="0.35">
      <c r="A845" s="1" t="s">
        <v>607</v>
      </c>
      <c r="B845" s="1" t="s">
        <v>11</v>
      </c>
      <c r="C845">
        <v>17.329999999999998</v>
      </c>
      <c r="D845">
        <v>4</v>
      </c>
      <c r="E845" s="1" t="s">
        <v>51</v>
      </c>
      <c r="F845">
        <v>9</v>
      </c>
      <c r="G845" s="1" t="s">
        <v>40</v>
      </c>
    </row>
    <row r="846" spans="1:7" x14ac:dyDescent="0.35">
      <c r="A846" s="1" t="s">
        <v>580</v>
      </c>
      <c r="B846" s="1" t="s">
        <v>14</v>
      </c>
      <c r="C846">
        <v>59.09</v>
      </c>
      <c r="D846">
        <v>4</v>
      </c>
      <c r="E846" s="1" t="s">
        <v>51</v>
      </c>
      <c r="F846">
        <v>16</v>
      </c>
      <c r="G846" s="1" t="s">
        <v>43</v>
      </c>
    </row>
    <row r="847" spans="1:7" x14ac:dyDescent="0.35">
      <c r="A847" s="1" t="s">
        <v>608</v>
      </c>
      <c r="B847" s="1" t="s">
        <v>14</v>
      </c>
      <c r="C847">
        <v>15.37</v>
      </c>
      <c r="D847">
        <v>5</v>
      </c>
      <c r="E847" s="1" t="s">
        <v>68</v>
      </c>
      <c r="F847">
        <v>20</v>
      </c>
      <c r="G847" s="1" t="s">
        <v>43</v>
      </c>
    </row>
    <row r="848" spans="1:7" x14ac:dyDescent="0.35">
      <c r="A848" s="1" t="s">
        <v>591</v>
      </c>
      <c r="B848" s="1" t="s">
        <v>3</v>
      </c>
      <c r="C848">
        <v>28.16</v>
      </c>
      <c r="D848">
        <v>3</v>
      </c>
      <c r="E848" s="1" t="s">
        <v>51</v>
      </c>
      <c r="F848">
        <v>17</v>
      </c>
      <c r="G848" s="1" t="s">
        <v>42</v>
      </c>
    </row>
    <row r="849" spans="1:7" x14ac:dyDescent="0.35">
      <c r="A849" s="1" t="s">
        <v>584</v>
      </c>
      <c r="B849" s="1" t="s">
        <v>24</v>
      </c>
      <c r="C849">
        <v>40.65</v>
      </c>
      <c r="D849">
        <v>5</v>
      </c>
      <c r="E849" s="1" t="s">
        <v>51</v>
      </c>
      <c r="F849">
        <v>6</v>
      </c>
      <c r="G849" s="1" t="s">
        <v>40</v>
      </c>
    </row>
    <row r="850" spans="1:7" x14ac:dyDescent="0.35">
      <c r="A850" s="1" t="s">
        <v>609</v>
      </c>
      <c r="B850" s="1" t="s">
        <v>20</v>
      </c>
      <c r="C850">
        <v>28.39</v>
      </c>
      <c r="D850">
        <v>3</v>
      </c>
      <c r="E850" s="1" t="s">
        <v>51</v>
      </c>
      <c r="F850">
        <v>14</v>
      </c>
      <c r="G850" s="1" t="s">
        <v>42</v>
      </c>
    </row>
    <row r="851" spans="1:7" x14ac:dyDescent="0.35">
      <c r="A851" s="1" t="s">
        <v>610</v>
      </c>
      <c r="B851" s="1" t="s">
        <v>10</v>
      </c>
      <c r="C851">
        <v>28.74</v>
      </c>
      <c r="D851">
        <v>1</v>
      </c>
      <c r="E851" s="1" t="s">
        <v>51</v>
      </c>
      <c r="F851">
        <v>9</v>
      </c>
      <c r="G851" s="1" t="s">
        <v>41</v>
      </c>
    </row>
    <row r="852" spans="1:7" x14ac:dyDescent="0.35">
      <c r="A852" s="1" t="s">
        <v>611</v>
      </c>
      <c r="B852" s="1" t="s">
        <v>8</v>
      </c>
      <c r="C852">
        <v>32.21</v>
      </c>
      <c r="D852">
        <v>4</v>
      </c>
      <c r="E852" s="1" t="s">
        <v>51</v>
      </c>
      <c r="F852">
        <v>14</v>
      </c>
      <c r="G852" s="1" t="s">
        <v>43</v>
      </c>
    </row>
    <row r="853" spans="1:7" x14ac:dyDescent="0.35">
      <c r="A853" s="1" t="s">
        <v>612</v>
      </c>
      <c r="B853" s="1" t="s">
        <v>29</v>
      </c>
      <c r="C853">
        <v>56.57</v>
      </c>
      <c r="D853">
        <v>3</v>
      </c>
      <c r="E853" s="1" t="s">
        <v>51</v>
      </c>
      <c r="F853">
        <v>9</v>
      </c>
      <c r="G853" s="1" t="s">
        <v>41</v>
      </c>
    </row>
    <row r="854" spans="1:7" x14ac:dyDescent="0.35">
      <c r="A854" s="1" t="s">
        <v>613</v>
      </c>
      <c r="B854" s="1" t="s">
        <v>3</v>
      </c>
      <c r="C854">
        <v>32.020000000000003</v>
      </c>
      <c r="D854">
        <v>4</v>
      </c>
      <c r="E854" s="1" t="s">
        <v>51</v>
      </c>
      <c r="F854">
        <v>18</v>
      </c>
      <c r="G854" s="1" t="s">
        <v>43</v>
      </c>
    </row>
    <row r="855" spans="1:7" x14ac:dyDescent="0.35">
      <c r="A855" s="1" t="s">
        <v>614</v>
      </c>
      <c r="B855" s="1" t="s">
        <v>3</v>
      </c>
      <c r="C855">
        <v>59.85</v>
      </c>
      <c r="D855">
        <v>5</v>
      </c>
      <c r="E855" s="1" t="s">
        <v>51</v>
      </c>
      <c r="F855">
        <v>2</v>
      </c>
      <c r="G855" s="1" t="s">
        <v>40</v>
      </c>
    </row>
    <row r="856" spans="1:7" x14ac:dyDescent="0.35">
      <c r="A856" s="1" t="s">
        <v>615</v>
      </c>
      <c r="B856" s="1" t="s">
        <v>23</v>
      </c>
      <c r="C856">
        <v>18.8</v>
      </c>
      <c r="D856">
        <v>4</v>
      </c>
      <c r="E856" s="1" t="s">
        <v>68</v>
      </c>
      <c r="F856">
        <v>13</v>
      </c>
      <c r="G856" s="1" t="s">
        <v>43</v>
      </c>
    </row>
    <row r="857" spans="1:7" x14ac:dyDescent="0.35">
      <c r="A857" s="1" t="s">
        <v>616</v>
      </c>
      <c r="B857" s="1" t="s">
        <v>28</v>
      </c>
      <c r="C857">
        <v>20.51</v>
      </c>
      <c r="D857">
        <v>3</v>
      </c>
      <c r="E857" s="1" t="s">
        <v>51</v>
      </c>
      <c r="F857">
        <v>16</v>
      </c>
      <c r="G857" s="1" t="s">
        <v>42</v>
      </c>
    </row>
    <row r="858" spans="1:7" x14ac:dyDescent="0.35">
      <c r="A858" s="1" t="s">
        <v>617</v>
      </c>
      <c r="B858" s="1" t="s">
        <v>21</v>
      </c>
      <c r="C858">
        <v>3.83</v>
      </c>
      <c r="D858">
        <v>3</v>
      </c>
      <c r="E858" s="1" t="s">
        <v>68</v>
      </c>
      <c r="F858">
        <v>7</v>
      </c>
      <c r="G858" s="1" t="s">
        <v>41</v>
      </c>
    </row>
    <row r="859" spans="1:7" x14ac:dyDescent="0.35">
      <c r="A859" s="1" t="s">
        <v>618</v>
      </c>
      <c r="B859" s="1" t="s">
        <v>2</v>
      </c>
      <c r="C859">
        <v>39.82</v>
      </c>
      <c r="D859">
        <v>5</v>
      </c>
      <c r="E859" s="1" t="s">
        <v>51</v>
      </c>
      <c r="F859">
        <v>1</v>
      </c>
      <c r="G859" s="1" t="s">
        <v>40</v>
      </c>
    </row>
    <row r="860" spans="1:7" x14ac:dyDescent="0.35">
      <c r="A860" s="1" t="s">
        <v>619</v>
      </c>
      <c r="B860" s="1" t="s">
        <v>27</v>
      </c>
      <c r="C860">
        <v>28.48</v>
      </c>
      <c r="D860">
        <v>3</v>
      </c>
      <c r="E860" s="1" t="s">
        <v>51</v>
      </c>
      <c r="F860">
        <v>7</v>
      </c>
      <c r="G860" s="1" t="s">
        <v>41</v>
      </c>
    </row>
    <row r="861" spans="1:7" x14ac:dyDescent="0.35">
      <c r="A861" s="1" t="s">
        <v>620</v>
      </c>
      <c r="B861" s="1" t="s">
        <v>28</v>
      </c>
      <c r="C861">
        <v>12.86</v>
      </c>
      <c r="D861">
        <v>4</v>
      </c>
      <c r="E861" s="1" t="s">
        <v>51</v>
      </c>
      <c r="F861">
        <v>8</v>
      </c>
      <c r="G861" s="1" t="s">
        <v>40</v>
      </c>
    </row>
    <row r="862" spans="1:7" x14ac:dyDescent="0.35">
      <c r="A862" s="1" t="s">
        <v>621</v>
      </c>
      <c r="B862" s="1" t="s">
        <v>19</v>
      </c>
      <c r="C862">
        <v>1.63</v>
      </c>
      <c r="D862">
        <v>5</v>
      </c>
      <c r="E862" s="1" t="s">
        <v>51</v>
      </c>
      <c r="F862">
        <v>16</v>
      </c>
      <c r="G862" s="1" t="s">
        <v>43</v>
      </c>
    </row>
    <row r="863" spans="1:7" x14ac:dyDescent="0.35">
      <c r="A863" s="1" t="s">
        <v>616</v>
      </c>
      <c r="B863" s="1" t="s">
        <v>28</v>
      </c>
      <c r="C863">
        <v>16.98</v>
      </c>
      <c r="D863">
        <v>5</v>
      </c>
      <c r="E863" s="1" t="s">
        <v>51</v>
      </c>
      <c r="F863">
        <v>2</v>
      </c>
      <c r="G863" s="1" t="s">
        <v>40</v>
      </c>
    </row>
    <row r="864" spans="1:7" x14ac:dyDescent="0.35">
      <c r="A864" s="1" t="s">
        <v>622</v>
      </c>
      <c r="B864" s="1" t="s">
        <v>29</v>
      </c>
      <c r="C864">
        <v>43.6</v>
      </c>
      <c r="D864">
        <v>5</v>
      </c>
      <c r="E864" s="1" t="s">
        <v>51</v>
      </c>
      <c r="F864">
        <v>18</v>
      </c>
      <c r="G864" s="1" t="s">
        <v>43</v>
      </c>
    </row>
    <row r="865" spans="1:7" x14ac:dyDescent="0.35">
      <c r="A865" s="1" t="s">
        <v>623</v>
      </c>
      <c r="B865" s="1" t="s">
        <v>20</v>
      </c>
      <c r="C865">
        <v>52.46</v>
      </c>
      <c r="D865">
        <v>4</v>
      </c>
      <c r="E865" s="1" t="s">
        <v>51</v>
      </c>
      <c r="F865">
        <v>16</v>
      </c>
      <c r="G865" s="1" t="s">
        <v>43</v>
      </c>
    </row>
    <row r="866" spans="1:7" x14ac:dyDescent="0.35">
      <c r="A866" s="1" t="s">
        <v>624</v>
      </c>
      <c r="B866" s="1" t="s">
        <v>25</v>
      </c>
      <c r="C866">
        <v>15.69</v>
      </c>
      <c r="D866">
        <v>3</v>
      </c>
      <c r="E866" s="1" t="s">
        <v>51</v>
      </c>
      <c r="F866">
        <v>3</v>
      </c>
      <c r="G866" s="1" t="s">
        <v>41</v>
      </c>
    </row>
    <row r="867" spans="1:7" x14ac:dyDescent="0.35">
      <c r="A867" s="1" t="s">
        <v>625</v>
      </c>
      <c r="B867" s="1" t="s">
        <v>9</v>
      </c>
      <c r="C867">
        <v>51.44</v>
      </c>
      <c r="D867">
        <v>5</v>
      </c>
      <c r="E867" s="1" t="s">
        <v>51</v>
      </c>
      <c r="F867">
        <v>2</v>
      </c>
      <c r="G867" s="1" t="s">
        <v>40</v>
      </c>
    </row>
    <row r="868" spans="1:7" x14ac:dyDescent="0.35">
      <c r="A868" s="1" t="s">
        <v>626</v>
      </c>
      <c r="B868" s="1" t="s">
        <v>11</v>
      </c>
      <c r="C868">
        <v>16.010000000000002</v>
      </c>
      <c r="D868">
        <v>3</v>
      </c>
      <c r="E868" s="1" t="s">
        <v>51</v>
      </c>
      <c r="F868">
        <v>6</v>
      </c>
      <c r="G868" s="1" t="s">
        <v>41</v>
      </c>
    </row>
    <row r="869" spans="1:7" x14ac:dyDescent="0.35">
      <c r="A869" s="1" t="s">
        <v>622</v>
      </c>
      <c r="B869" s="1" t="s">
        <v>7</v>
      </c>
      <c r="C869">
        <v>18.37</v>
      </c>
      <c r="D869">
        <v>4</v>
      </c>
      <c r="E869" s="1" t="s">
        <v>68</v>
      </c>
      <c r="F869">
        <v>1</v>
      </c>
      <c r="G869" s="1" t="s">
        <v>40</v>
      </c>
    </row>
    <row r="870" spans="1:7" x14ac:dyDescent="0.35">
      <c r="A870" s="1" t="s">
        <v>612</v>
      </c>
      <c r="B870" s="1" t="s">
        <v>2</v>
      </c>
      <c r="C870">
        <v>41.22</v>
      </c>
      <c r="D870">
        <v>4</v>
      </c>
      <c r="E870" s="1" t="s">
        <v>51</v>
      </c>
      <c r="F870">
        <v>6</v>
      </c>
      <c r="G870" s="1" t="s">
        <v>40</v>
      </c>
    </row>
    <row r="871" spans="1:7" x14ac:dyDescent="0.35">
      <c r="A871" s="1" t="s">
        <v>627</v>
      </c>
      <c r="B871" s="1" t="s">
        <v>21</v>
      </c>
      <c r="C871">
        <v>33.020000000000003</v>
      </c>
      <c r="D871">
        <v>2</v>
      </c>
      <c r="E871" s="1" t="s">
        <v>51</v>
      </c>
      <c r="F871">
        <v>1</v>
      </c>
      <c r="G871" s="1" t="s">
        <v>41</v>
      </c>
    </row>
    <row r="872" spans="1:7" x14ac:dyDescent="0.35">
      <c r="A872" s="1" t="s">
        <v>628</v>
      </c>
      <c r="B872" s="1" t="s">
        <v>9</v>
      </c>
      <c r="C872">
        <v>40.43</v>
      </c>
      <c r="D872">
        <v>5</v>
      </c>
      <c r="E872" s="1" t="s">
        <v>51</v>
      </c>
      <c r="F872">
        <v>6</v>
      </c>
      <c r="G872" s="1" t="s">
        <v>40</v>
      </c>
    </row>
    <row r="873" spans="1:7" x14ac:dyDescent="0.35">
      <c r="A873" s="1" t="s">
        <v>612</v>
      </c>
      <c r="B873" s="1" t="s">
        <v>23</v>
      </c>
      <c r="C873">
        <v>3.57</v>
      </c>
      <c r="D873">
        <v>4</v>
      </c>
      <c r="E873" s="1" t="s">
        <v>68</v>
      </c>
      <c r="F873">
        <v>8</v>
      </c>
      <c r="G873" s="1" t="s">
        <v>40</v>
      </c>
    </row>
    <row r="874" spans="1:7" x14ac:dyDescent="0.35">
      <c r="A874" s="1" t="s">
        <v>629</v>
      </c>
      <c r="B874" s="1" t="s">
        <v>20</v>
      </c>
      <c r="C874">
        <v>30.47</v>
      </c>
      <c r="D874">
        <v>4</v>
      </c>
      <c r="E874" s="1" t="s">
        <v>68</v>
      </c>
      <c r="F874">
        <v>4</v>
      </c>
      <c r="G874" s="1" t="s">
        <v>40</v>
      </c>
    </row>
    <row r="875" spans="1:7" x14ac:dyDescent="0.35">
      <c r="A875" s="1" t="s">
        <v>630</v>
      </c>
      <c r="B875" s="1" t="s">
        <v>25</v>
      </c>
      <c r="C875">
        <v>15.43</v>
      </c>
      <c r="D875">
        <v>3</v>
      </c>
      <c r="E875" s="1" t="s">
        <v>51</v>
      </c>
      <c r="F875">
        <v>13</v>
      </c>
      <c r="G875" s="1" t="s">
        <v>42</v>
      </c>
    </row>
    <row r="876" spans="1:7" x14ac:dyDescent="0.35">
      <c r="A876" s="1" t="s">
        <v>631</v>
      </c>
      <c r="B876" s="1" t="s">
        <v>7</v>
      </c>
      <c r="C876">
        <v>41.71</v>
      </c>
      <c r="D876">
        <v>1</v>
      </c>
      <c r="E876" s="1" t="s">
        <v>51</v>
      </c>
      <c r="F876">
        <v>9</v>
      </c>
      <c r="G876" s="1" t="s">
        <v>41</v>
      </c>
    </row>
    <row r="877" spans="1:7" x14ac:dyDescent="0.35">
      <c r="A877" s="1" t="s">
        <v>632</v>
      </c>
      <c r="B877" s="1" t="s">
        <v>12</v>
      </c>
      <c r="C877">
        <v>34.94</v>
      </c>
      <c r="D877">
        <v>4</v>
      </c>
      <c r="E877" s="1" t="s">
        <v>51</v>
      </c>
      <c r="F877">
        <v>17</v>
      </c>
      <c r="G877" s="1" t="s">
        <v>43</v>
      </c>
    </row>
    <row r="878" spans="1:7" x14ac:dyDescent="0.35">
      <c r="A878" s="1" t="s">
        <v>633</v>
      </c>
      <c r="B878" s="1" t="s">
        <v>6</v>
      </c>
      <c r="C878">
        <v>6.68</v>
      </c>
      <c r="D878">
        <v>3</v>
      </c>
      <c r="E878" s="1" t="s">
        <v>51</v>
      </c>
      <c r="F878">
        <v>6</v>
      </c>
      <c r="G878" s="1" t="s">
        <v>41</v>
      </c>
    </row>
    <row r="879" spans="1:7" x14ac:dyDescent="0.35">
      <c r="A879" s="1" t="s">
        <v>634</v>
      </c>
      <c r="B879" s="1" t="s">
        <v>8</v>
      </c>
      <c r="C879">
        <v>49.53</v>
      </c>
      <c r="D879">
        <v>5</v>
      </c>
      <c r="E879" s="1" t="s">
        <v>61</v>
      </c>
      <c r="F879">
        <v>0</v>
      </c>
      <c r="G879" s="1" t="s">
        <v>40</v>
      </c>
    </row>
    <row r="880" spans="1:7" x14ac:dyDescent="0.35">
      <c r="A880" s="1" t="s">
        <v>635</v>
      </c>
      <c r="B880" s="1" t="s">
        <v>20</v>
      </c>
      <c r="C880">
        <v>54.86</v>
      </c>
      <c r="D880">
        <v>5</v>
      </c>
      <c r="E880" s="1" t="s">
        <v>51</v>
      </c>
      <c r="F880">
        <v>6</v>
      </c>
      <c r="G880" s="1" t="s">
        <v>40</v>
      </c>
    </row>
    <row r="881" spans="1:7" x14ac:dyDescent="0.35">
      <c r="A881" s="1" t="s">
        <v>629</v>
      </c>
      <c r="B881" s="1" t="s">
        <v>10</v>
      </c>
      <c r="C881">
        <v>21.61</v>
      </c>
      <c r="D881">
        <v>3</v>
      </c>
      <c r="E881" s="1" t="s">
        <v>51</v>
      </c>
      <c r="F881">
        <v>3</v>
      </c>
      <c r="G881" s="1" t="s">
        <v>41</v>
      </c>
    </row>
    <row r="882" spans="1:7" x14ac:dyDescent="0.35">
      <c r="A882" s="1" t="s">
        <v>611</v>
      </c>
      <c r="B882" s="1" t="s">
        <v>24</v>
      </c>
      <c r="C882">
        <v>6.93</v>
      </c>
      <c r="D882">
        <v>4</v>
      </c>
      <c r="E882" s="1" t="s">
        <v>51</v>
      </c>
      <c r="F882">
        <v>3</v>
      </c>
      <c r="G882" s="1" t="s">
        <v>40</v>
      </c>
    </row>
    <row r="883" spans="1:7" x14ac:dyDescent="0.35">
      <c r="A883" s="1" t="s">
        <v>612</v>
      </c>
      <c r="B883" s="1" t="s">
        <v>26</v>
      </c>
      <c r="C883">
        <v>49.48</v>
      </c>
      <c r="D883">
        <v>3</v>
      </c>
      <c r="E883" s="1" t="s">
        <v>51</v>
      </c>
      <c r="F883">
        <v>12</v>
      </c>
      <c r="G883" s="1" t="s">
        <v>42</v>
      </c>
    </row>
    <row r="884" spans="1:7" x14ac:dyDescent="0.35">
      <c r="A884" s="1" t="s">
        <v>636</v>
      </c>
      <c r="B884" s="1" t="s">
        <v>1</v>
      </c>
      <c r="C884">
        <v>38.06</v>
      </c>
      <c r="D884">
        <v>1</v>
      </c>
      <c r="E884" s="1" t="s">
        <v>51</v>
      </c>
      <c r="F884">
        <v>10</v>
      </c>
      <c r="G884" s="1" t="s">
        <v>41</v>
      </c>
    </row>
    <row r="885" spans="1:7" x14ac:dyDescent="0.35">
      <c r="A885" s="1" t="s">
        <v>637</v>
      </c>
      <c r="B885" s="1" t="s">
        <v>9</v>
      </c>
      <c r="C885">
        <v>19.11</v>
      </c>
      <c r="D885">
        <v>4</v>
      </c>
      <c r="E885" s="1" t="s">
        <v>51</v>
      </c>
      <c r="F885">
        <v>12</v>
      </c>
      <c r="G885" s="1" t="s">
        <v>43</v>
      </c>
    </row>
    <row r="886" spans="1:7" x14ac:dyDescent="0.35">
      <c r="A886" s="1" t="s">
        <v>620</v>
      </c>
      <c r="B886" s="1" t="s">
        <v>20</v>
      </c>
      <c r="C886">
        <v>48.69</v>
      </c>
      <c r="D886">
        <v>2</v>
      </c>
      <c r="E886" s="1" t="s">
        <v>51</v>
      </c>
      <c r="F886">
        <v>19</v>
      </c>
      <c r="G886" s="1" t="s">
        <v>42</v>
      </c>
    </row>
    <row r="887" spans="1:7" x14ac:dyDescent="0.35">
      <c r="A887" s="1" t="s">
        <v>638</v>
      </c>
      <c r="B887" s="1" t="s">
        <v>7</v>
      </c>
      <c r="C887">
        <v>33.61</v>
      </c>
      <c r="D887">
        <v>5</v>
      </c>
      <c r="E887" s="1" t="s">
        <v>51</v>
      </c>
      <c r="F887">
        <v>18</v>
      </c>
      <c r="G887" s="1" t="s">
        <v>43</v>
      </c>
    </row>
    <row r="888" spans="1:7" x14ac:dyDescent="0.35">
      <c r="A888" s="1" t="s">
        <v>639</v>
      </c>
      <c r="B888" s="1" t="s">
        <v>25</v>
      </c>
      <c r="C888">
        <v>16.45</v>
      </c>
      <c r="D888">
        <v>5</v>
      </c>
      <c r="E888" s="1" t="s">
        <v>61</v>
      </c>
      <c r="F888">
        <v>0</v>
      </c>
      <c r="G888" s="1" t="s">
        <v>40</v>
      </c>
    </row>
    <row r="889" spans="1:7" x14ac:dyDescent="0.35">
      <c r="A889" s="1" t="s">
        <v>628</v>
      </c>
      <c r="B889" s="1" t="s">
        <v>21</v>
      </c>
      <c r="C889">
        <v>39.049999999999997</v>
      </c>
      <c r="D889">
        <v>1</v>
      </c>
      <c r="E889" s="1" t="s">
        <v>61</v>
      </c>
      <c r="F889">
        <v>0</v>
      </c>
      <c r="G889" s="1" t="s">
        <v>41</v>
      </c>
    </row>
    <row r="890" spans="1:7" x14ac:dyDescent="0.35">
      <c r="A890" s="1" t="s">
        <v>622</v>
      </c>
      <c r="B890" s="1" t="s">
        <v>25</v>
      </c>
      <c r="C890">
        <v>10.56</v>
      </c>
      <c r="D890">
        <v>5</v>
      </c>
      <c r="E890" s="1" t="s">
        <v>51</v>
      </c>
      <c r="F890">
        <v>1</v>
      </c>
      <c r="G890" s="1" t="s">
        <v>40</v>
      </c>
    </row>
    <row r="891" spans="1:7" x14ac:dyDescent="0.35">
      <c r="A891" s="1" t="s">
        <v>633</v>
      </c>
      <c r="B891" s="1" t="s">
        <v>16</v>
      </c>
      <c r="C891">
        <v>24.65</v>
      </c>
      <c r="D891">
        <v>5</v>
      </c>
      <c r="E891" s="1" t="s">
        <v>51</v>
      </c>
      <c r="F891">
        <v>2</v>
      </c>
      <c r="G891" s="1" t="s">
        <v>40</v>
      </c>
    </row>
    <row r="892" spans="1:7" x14ac:dyDescent="0.35">
      <c r="A892" s="1" t="s">
        <v>617</v>
      </c>
      <c r="B892" s="1" t="s">
        <v>18</v>
      </c>
      <c r="C892">
        <v>39.93</v>
      </c>
      <c r="D892">
        <v>4</v>
      </c>
      <c r="E892" s="1" t="s">
        <v>51</v>
      </c>
      <c r="F892">
        <v>16</v>
      </c>
      <c r="G892" s="1" t="s">
        <v>43</v>
      </c>
    </row>
    <row r="893" spans="1:7" x14ac:dyDescent="0.35">
      <c r="A893" s="1" t="s">
        <v>617</v>
      </c>
      <c r="B893" s="1" t="s">
        <v>17</v>
      </c>
      <c r="C893">
        <v>43.98</v>
      </c>
      <c r="D893">
        <v>3</v>
      </c>
      <c r="E893" s="1" t="s">
        <v>51</v>
      </c>
      <c r="F893">
        <v>20</v>
      </c>
      <c r="G893" s="1" t="s">
        <v>42</v>
      </c>
    </row>
    <row r="894" spans="1:7" x14ac:dyDescent="0.35">
      <c r="A894" s="1" t="s">
        <v>640</v>
      </c>
      <c r="B894" s="1" t="s">
        <v>20</v>
      </c>
      <c r="C894">
        <v>44.15</v>
      </c>
      <c r="D894">
        <v>4</v>
      </c>
      <c r="E894" s="1" t="s">
        <v>51</v>
      </c>
      <c r="F894">
        <v>22</v>
      </c>
      <c r="G894" s="1" t="s">
        <v>43</v>
      </c>
    </row>
    <row r="895" spans="1:7" x14ac:dyDescent="0.35">
      <c r="A895" s="1" t="s">
        <v>632</v>
      </c>
      <c r="B895" s="1" t="s">
        <v>24</v>
      </c>
      <c r="C895">
        <v>51.24</v>
      </c>
      <c r="D895">
        <v>1</v>
      </c>
      <c r="E895" s="1" t="s">
        <v>51</v>
      </c>
      <c r="F895">
        <v>3</v>
      </c>
      <c r="G895" s="1" t="s">
        <v>41</v>
      </c>
    </row>
    <row r="896" spans="1:7" x14ac:dyDescent="0.35">
      <c r="A896" s="1" t="s">
        <v>628</v>
      </c>
      <c r="B896" s="1" t="s">
        <v>26</v>
      </c>
      <c r="C896">
        <v>48.53</v>
      </c>
      <c r="D896">
        <v>4</v>
      </c>
      <c r="E896" s="1" t="s">
        <v>51</v>
      </c>
      <c r="F896">
        <v>10</v>
      </c>
      <c r="G896" s="1" t="s">
        <v>40</v>
      </c>
    </row>
    <row r="897" spans="1:7" x14ac:dyDescent="0.35">
      <c r="A897" s="1" t="s">
        <v>628</v>
      </c>
      <c r="B897" s="1" t="s">
        <v>16</v>
      </c>
      <c r="C897">
        <v>3.21</v>
      </c>
      <c r="D897">
        <v>4</v>
      </c>
      <c r="E897" s="1" t="s">
        <v>51</v>
      </c>
      <c r="F897">
        <v>6</v>
      </c>
      <c r="G897" s="1" t="s">
        <v>40</v>
      </c>
    </row>
    <row r="898" spans="1:7" x14ac:dyDescent="0.35">
      <c r="A898" s="1" t="s">
        <v>635</v>
      </c>
      <c r="B898" s="1" t="s">
        <v>17</v>
      </c>
      <c r="C898">
        <v>44</v>
      </c>
      <c r="D898">
        <v>4</v>
      </c>
      <c r="E898" s="1" t="s">
        <v>51</v>
      </c>
      <c r="F898">
        <v>17</v>
      </c>
      <c r="G898" s="1" t="s">
        <v>43</v>
      </c>
    </row>
    <row r="899" spans="1:7" x14ac:dyDescent="0.35">
      <c r="A899" s="1" t="s">
        <v>641</v>
      </c>
      <c r="B899" s="1" t="s">
        <v>10</v>
      </c>
      <c r="C899">
        <v>13.38</v>
      </c>
      <c r="D899">
        <v>4</v>
      </c>
      <c r="E899" s="1" t="s">
        <v>51</v>
      </c>
      <c r="F899">
        <v>19</v>
      </c>
      <c r="G899" s="1" t="s">
        <v>43</v>
      </c>
    </row>
    <row r="900" spans="1:7" x14ac:dyDescent="0.35">
      <c r="A900" s="1" t="s">
        <v>636</v>
      </c>
      <c r="B900" s="1" t="s">
        <v>19</v>
      </c>
      <c r="C900">
        <v>55.93</v>
      </c>
      <c r="D900">
        <v>5</v>
      </c>
      <c r="E900" s="1" t="s">
        <v>51</v>
      </c>
      <c r="F900">
        <v>3</v>
      </c>
      <c r="G900" s="1" t="s">
        <v>40</v>
      </c>
    </row>
    <row r="901" spans="1:7" x14ac:dyDescent="0.35">
      <c r="A901" s="1" t="s">
        <v>628</v>
      </c>
      <c r="B901" s="1" t="s">
        <v>20</v>
      </c>
      <c r="C901">
        <v>54.73</v>
      </c>
      <c r="D901">
        <v>4</v>
      </c>
      <c r="E901" s="1" t="s">
        <v>51</v>
      </c>
      <c r="F901">
        <v>16</v>
      </c>
      <c r="G901" s="1" t="s">
        <v>43</v>
      </c>
    </row>
    <row r="902" spans="1:7" x14ac:dyDescent="0.35">
      <c r="A902" s="1" t="s">
        <v>642</v>
      </c>
      <c r="B902" s="1" t="s">
        <v>19</v>
      </c>
      <c r="C902">
        <v>9.1199999999999992</v>
      </c>
      <c r="D902">
        <v>4</v>
      </c>
      <c r="E902" s="1" t="s">
        <v>51</v>
      </c>
      <c r="F902">
        <v>20</v>
      </c>
      <c r="G902" s="1" t="s">
        <v>43</v>
      </c>
    </row>
    <row r="903" spans="1:7" x14ac:dyDescent="0.35">
      <c r="A903" s="1" t="s">
        <v>643</v>
      </c>
      <c r="B903" s="1" t="s">
        <v>22</v>
      </c>
      <c r="C903">
        <v>58.93</v>
      </c>
      <c r="D903">
        <v>2</v>
      </c>
      <c r="E903" s="1" t="s">
        <v>51</v>
      </c>
      <c r="F903">
        <v>7</v>
      </c>
      <c r="G903" s="1" t="s">
        <v>41</v>
      </c>
    </row>
    <row r="904" spans="1:7" x14ac:dyDescent="0.35">
      <c r="A904" s="1" t="s">
        <v>644</v>
      </c>
      <c r="B904" s="1" t="s">
        <v>2</v>
      </c>
      <c r="C904">
        <v>37.409999999999997</v>
      </c>
      <c r="D904">
        <v>5</v>
      </c>
      <c r="E904" s="1" t="s">
        <v>61</v>
      </c>
      <c r="F904">
        <v>0</v>
      </c>
      <c r="G904" s="1" t="s">
        <v>40</v>
      </c>
    </row>
    <row r="905" spans="1:7" x14ac:dyDescent="0.35">
      <c r="A905" s="1" t="s">
        <v>645</v>
      </c>
      <c r="B905" s="1" t="s">
        <v>20</v>
      </c>
      <c r="C905">
        <v>45.29</v>
      </c>
      <c r="D905">
        <v>5</v>
      </c>
      <c r="E905" s="1" t="s">
        <v>51</v>
      </c>
      <c r="F905">
        <v>1</v>
      </c>
      <c r="G905" s="1" t="s">
        <v>40</v>
      </c>
    </row>
    <row r="906" spans="1:7" x14ac:dyDescent="0.35">
      <c r="A906" s="1" t="s">
        <v>646</v>
      </c>
      <c r="B906" s="1" t="s">
        <v>17</v>
      </c>
      <c r="C906">
        <v>21.62</v>
      </c>
      <c r="D906">
        <v>3</v>
      </c>
      <c r="E906" s="1" t="s">
        <v>51</v>
      </c>
      <c r="F906">
        <v>19</v>
      </c>
      <c r="G906" s="1" t="s">
        <v>42</v>
      </c>
    </row>
    <row r="907" spans="1:7" x14ac:dyDescent="0.35">
      <c r="A907" s="1" t="s">
        <v>647</v>
      </c>
      <c r="B907" s="1" t="s">
        <v>25</v>
      </c>
      <c r="C907">
        <v>13.13</v>
      </c>
      <c r="D907">
        <v>5</v>
      </c>
      <c r="E907" s="1" t="s">
        <v>51</v>
      </c>
      <c r="F907">
        <v>15</v>
      </c>
      <c r="G907" s="1" t="s">
        <v>43</v>
      </c>
    </row>
    <row r="908" spans="1:7" x14ac:dyDescent="0.35">
      <c r="A908" s="1" t="s">
        <v>648</v>
      </c>
      <c r="B908" s="1" t="s">
        <v>7</v>
      </c>
      <c r="C908">
        <v>27.57</v>
      </c>
      <c r="D908">
        <v>3</v>
      </c>
      <c r="E908" s="1" t="s">
        <v>51</v>
      </c>
      <c r="F908">
        <v>13</v>
      </c>
      <c r="G908" s="1" t="s">
        <v>42</v>
      </c>
    </row>
    <row r="909" spans="1:7" x14ac:dyDescent="0.35">
      <c r="A909" s="1" t="s">
        <v>649</v>
      </c>
      <c r="B909" s="1" t="s">
        <v>6</v>
      </c>
      <c r="C909">
        <v>10.34</v>
      </c>
      <c r="D909">
        <v>4</v>
      </c>
      <c r="E909" s="1" t="s">
        <v>61</v>
      </c>
      <c r="F909">
        <v>0</v>
      </c>
      <c r="G909" s="1" t="s">
        <v>40</v>
      </c>
    </row>
    <row r="910" spans="1:7" x14ac:dyDescent="0.35">
      <c r="A910" s="1" t="s">
        <v>643</v>
      </c>
      <c r="B910" s="1" t="s">
        <v>29</v>
      </c>
      <c r="C910">
        <v>13.08</v>
      </c>
      <c r="D910">
        <v>4</v>
      </c>
      <c r="E910" s="1" t="s">
        <v>51</v>
      </c>
      <c r="F910">
        <v>10</v>
      </c>
      <c r="G910" s="1" t="s">
        <v>40</v>
      </c>
    </row>
    <row r="911" spans="1:7" x14ac:dyDescent="0.35">
      <c r="A911" s="1" t="s">
        <v>648</v>
      </c>
      <c r="B911" s="1" t="s">
        <v>18</v>
      </c>
      <c r="C911">
        <v>16.29</v>
      </c>
      <c r="D911">
        <v>3</v>
      </c>
      <c r="E911" s="1" t="s">
        <v>51</v>
      </c>
      <c r="F911">
        <v>19</v>
      </c>
      <c r="G911" s="1" t="s">
        <v>42</v>
      </c>
    </row>
    <row r="912" spans="1:7" x14ac:dyDescent="0.35">
      <c r="A912" s="1" t="s">
        <v>650</v>
      </c>
      <c r="B912" s="1" t="s">
        <v>20</v>
      </c>
      <c r="C912">
        <v>46.04</v>
      </c>
      <c r="D912">
        <v>3</v>
      </c>
      <c r="E912" s="1" t="s">
        <v>51</v>
      </c>
      <c r="F912">
        <v>15</v>
      </c>
      <c r="G912" s="1" t="s">
        <v>42</v>
      </c>
    </row>
    <row r="913" spans="1:7" x14ac:dyDescent="0.35">
      <c r="A913" s="1" t="s">
        <v>651</v>
      </c>
      <c r="B913" s="1" t="s">
        <v>20</v>
      </c>
      <c r="C913">
        <v>57.62</v>
      </c>
      <c r="D913">
        <v>5</v>
      </c>
      <c r="E913" s="1" t="s">
        <v>51</v>
      </c>
      <c r="F913">
        <v>13</v>
      </c>
      <c r="G913" s="1" t="s">
        <v>43</v>
      </c>
    </row>
    <row r="914" spans="1:7" x14ac:dyDescent="0.35">
      <c r="A914" s="1" t="s">
        <v>652</v>
      </c>
      <c r="B914" s="1" t="s">
        <v>10</v>
      </c>
      <c r="C914">
        <v>13.65</v>
      </c>
      <c r="D914">
        <v>3</v>
      </c>
      <c r="E914" s="1" t="s">
        <v>51</v>
      </c>
      <c r="F914">
        <v>1</v>
      </c>
      <c r="G914" s="1" t="s">
        <v>41</v>
      </c>
    </row>
    <row r="915" spans="1:7" x14ac:dyDescent="0.35">
      <c r="A915" s="1" t="s">
        <v>653</v>
      </c>
      <c r="B915" s="1" t="s">
        <v>23</v>
      </c>
      <c r="C915">
        <v>55.5</v>
      </c>
      <c r="D915">
        <v>2</v>
      </c>
      <c r="E915" s="1" t="s">
        <v>68</v>
      </c>
      <c r="F915">
        <v>8</v>
      </c>
      <c r="G915" s="1" t="s">
        <v>41</v>
      </c>
    </row>
    <row r="916" spans="1:7" x14ac:dyDescent="0.35">
      <c r="A916" s="1" t="s">
        <v>654</v>
      </c>
      <c r="B916" s="1" t="s">
        <v>30</v>
      </c>
      <c r="C916">
        <v>15.17</v>
      </c>
      <c r="D916">
        <v>4</v>
      </c>
      <c r="E916" s="1" t="s">
        <v>51</v>
      </c>
      <c r="F916">
        <v>20</v>
      </c>
      <c r="G916" s="1" t="s">
        <v>43</v>
      </c>
    </row>
    <row r="917" spans="1:7" x14ac:dyDescent="0.35">
      <c r="A917" s="1" t="s">
        <v>655</v>
      </c>
      <c r="B917" s="1" t="s">
        <v>8</v>
      </c>
      <c r="C917">
        <v>23.01</v>
      </c>
      <c r="D917">
        <v>5</v>
      </c>
      <c r="E917" s="1" t="s">
        <v>68</v>
      </c>
      <c r="F917">
        <v>5</v>
      </c>
      <c r="G917" s="1" t="s">
        <v>40</v>
      </c>
    </row>
    <row r="918" spans="1:7" x14ac:dyDescent="0.35">
      <c r="A918" s="1" t="s">
        <v>656</v>
      </c>
      <c r="B918" s="1" t="s">
        <v>20</v>
      </c>
      <c r="C918">
        <v>24.56</v>
      </c>
      <c r="D918">
        <v>4</v>
      </c>
      <c r="E918" s="1" t="s">
        <v>51</v>
      </c>
      <c r="F918">
        <v>5</v>
      </c>
      <c r="G918" s="1" t="s">
        <v>40</v>
      </c>
    </row>
    <row r="919" spans="1:7" x14ac:dyDescent="0.35">
      <c r="A919" s="1" t="s">
        <v>657</v>
      </c>
      <c r="B919" s="1" t="s">
        <v>25</v>
      </c>
      <c r="C919">
        <v>15.36</v>
      </c>
      <c r="D919">
        <v>3</v>
      </c>
      <c r="E919" s="1" t="s">
        <v>51</v>
      </c>
      <c r="F919">
        <v>1</v>
      </c>
      <c r="G919" s="1" t="s">
        <v>41</v>
      </c>
    </row>
    <row r="920" spans="1:7" x14ac:dyDescent="0.35">
      <c r="A920" s="1" t="s">
        <v>658</v>
      </c>
      <c r="B920" s="1" t="s">
        <v>8</v>
      </c>
      <c r="C920">
        <v>8.08</v>
      </c>
      <c r="D920">
        <v>5</v>
      </c>
      <c r="E920" s="1" t="s">
        <v>51</v>
      </c>
      <c r="F920">
        <v>9</v>
      </c>
      <c r="G920" s="1" t="s">
        <v>40</v>
      </c>
    </row>
    <row r="921" spans="1:7" x14ac:dyDescent="0.35">
      <c r="A921" s="1" t="s">
        <v>659</v>
      </c>
      <c r="B921" s="1" t="s">
        <v>2</v>
      </c>
      <c r="C921">
        <v>55.9</v>
      </c>
      <c r="D921">
        <v>2</v>
      </c>
      <c r="E921" s="1" t="s">
        <v>51</v>
      </c>
      <c r="F921">
        <v>3</v>
      </c>
      <c r="G921" s="1" t="s">
        <v>41</v>
      </c>
    </row>
    <row r="922" spans="1:7" x14ac:dyDescent="0.35">
      <c r="A922" s="1" t="s">
        <v>656</v>
      </c>
      <c r="B922" s="1" t="s">
        <v>13</v>
      </c>
      <c r="C922">
        <v>2.33</v>
      </c>
      <c r="D922">
        <v>4</v>
      </c>
      <c r="E922" s="1" t="s">
        <v>51</v>
      </c>
      <c r="F922">
        <v>21</v>
      </c>
      <c r="G922" s="1" t="s">
        <v>43</v>
      </c>
    </row>
    <row r="923" spans="1:7" x14ac:dyDescent="0.35">
      <c r="A923" s="1" t="s">
        <v>660</v>
      </c>
      <c r="B923" s="1" t="s">
        <v>23</v>
      </c>
      <c r="C923">
        <v>8.75</v>
      </c>
      <c r="D923">
        <v>2</v>
      </c>
      <c r="E923" s="1" t="s">
        <v>51</v>
      </c>
      <c r="F923">
        <v>11</v>
      </c>
      <c r="G923" s="1" t="s">
        <v>42</v>
      </c>
    </row>
    <row r="924" spans="1:7" x14ac:dyDescent="0.35">
      <c r="A924" s="1" t="s">
        <v>660</v>
      </c>
      <c r="B924" s="1" t="s">
        <v>4</v>
      </c>
      <c r="C924">
        <v>25.85</v>
      </c>
      <c r="D924">
        <v>3</v>
      </c>
      <c r="E924" s="1" t="s">
        <v>51</v>
      </c>
      <c r="F924">
        <v>2</v>
      </c>
      <c r="G924" s="1" t="s">
        <v>41</v>
      </c>
    </row>
    <row r="925" spans="1:7" x14ac:dyDescent="0.35">
      <c r="A925" s="1" t="s">
        <v>656</v>
      </c>
      <c r="B925" s="1" t="s">
        <v>23</v>
      </c>
      <c r="C925">
        <v>3.97</v>
      </c>
      <c r="D925">
        <v>4</v>
      </c>
      <c r="E925" s="1" t="s">
        <v>51</v>
      </c>
      <c r="F925">
        <v>17</v>
      </c>
      <c r="G925" s="1" t="s">
        <v>43</v>
      </c>
    </row>
    <row r="926" spans="1:7" x14ac:dyDescent="0.35">
      <c r="A926" s="1" t="s">
        <v>657</v>
      </c>
      <c r="B926" s="1" t="s">
        <v>10</v>
      </c>
      <c r="C926">
        <v>34.869999999999997</v>
      </c>
      <c r="D926">
        <v>4</v>
      </c>
      <c r="E926" s="1" t="s">
        <v>51</v>
      </c>
      <c r="F926">
        <v>14</v>
      </c>
      <c r="G926" s="1" t="s">
        <v>43</v>
      </c>
    </row>
    <row r="927" spans="1:7" x14ac:dyDescent="0.35">
      <c r="A927" s="1" t="s">
        <v>661</v>
      </c>
      <c r="B927" s="1" t="s">
        <v>24</v>
      </c>
      <c r="C927">
        <v>23.23</v>
      </c>
      <c r="D927">
        <v>5</v>
      </c>
      <c r="E927" s="1" t="s">
        <v>51</v>
      </c>
      <c r="F927">
        <v>13</v>
      </c>
      <c r="G927" s="1" t="s">
        <v>43</v>
      </c>
    </row>
    <row r="928" spans="1:7" x14ac:dyDescent="0.35">
      <c r="A928" s="1" t="s">
        <v>662</v>
      </c>
      <c r="B928" s="1" t="s">
        <v>5</v>
      </c>
      <c r="C928">
        <v>49.4</v>
      </c>
      <c r="D928">
        <v>2</v>
      </c>
      <c r="E928" s="1" t="s">
        <v>51</v>
      </c>
      <c r="F928">
        <v>15</v>
      </c>
      <c r="G928" s="1" t="s">
        <v>42</v>
      </c>
    </row>
    <row r="929" spans="1:7" x14ac:dyDescent="0.35">
      <c r="A929" s="1" t="s">
        <v>663</v>
      </c>
      <c r="B929" s="1" t="s">
        <v>25</v>
      </c>
      <c r="C929">
        <v>59.99</v>
      </c>
      <c r="D929">
        <v>4</v>
      </c>
      <c r="E929" s="1" t="s">
        <v>51</v>
      </c>
      <c r="F929">
        <v>1</v>
      </c>
      <c r="G929" s="1" t="s">
        <v>40</v>
      </c>
    </row>
    <row r="930" spans="1:7" x14ac:dyDescent="0.35">
      <c r="A930" s="1" t="s">
        <v>658</v>
      </c>
      <c r="B930" s="1" t="s">
        <v>21</v>
      </c>
      <c r="C930">
        <v>41.96</v>
      </c>
      <c r="D930">
        <v>3</v>
      </c>
      <c r="E930" s="1" t="s">
        <v>51</v>
      </c>
      <c r="F930">
        <v>19</v>
      </c>
      <c r="G930" s="1" t="s">
        <v>42</v>
      </c>
    </row>
    <row r="931" spans="1:7" x14ac:dyDescent="0.35">
      <c r="A931" s="1" t="s">
        <v>664</v>
      </c>
      <c r="B931" s="1" t="s">
        <v>14</v>
      </c>
      <c r="C931">
        <v>53.53</v>
      </c>
      <c r="D931">
        <v>3</v>
      </c>
      <c r="E931" s="1" t="s">
        <v>51</v>
      </c>
      <c r="F931">
        <v>15</v>
      </c>
      <c r="G931" s="1" t="s">
        <v>42</v>
      </c>
    </row>
    <row r="932" spans="1:7" x14ac:dyDescent="0.35">
      <c r="A932" s="1" t="s">
        <v>665</v>
      </c>
      <c r="B932" s="1" t="s">
        <v>3</v>
      </c>
      <c r="C932">
        <v>9.81</v>
      </c>
      <c r="D932">
        <v>5</v>
      </c>
      <c r="E932" s="1" t="s">
        <v>51</v>
      </c>
      <c r="F932">
        <v>17</v>
      </c>
      <c r="G932" s="1" t="s">
        <v>43</v>
      </c>
    </row>
    <row r="933" spans="1:7" x14ac:dyDescent="0.35">
      <c r="A933" s="1" t="s">
        <v>649</v>
      </c>
      <c r="B933" s="1" t="s">
        <v>13</v>
      </c>
      <c r="C933">
        <v>6.59</v>
      </c>
      <c r="D933">
        <v>5</v>
      </c>
      <c r="E933" s="1" t="s">
        <v>61</v>
      </c>
      <c r="F933">
        <v>0</v>
      </c>
      <c r="G933" s="1" t="s">
        <v>40</v>
      </c>
    </row>
    <row r="934" spans="1:7" x14ac:dyDescent="0.35">
      <c r="A934" s="1" t="s">
        <v>666</v>
      </c>
      <c r="B934" s="1" t="s">
        <v>23</v>
      </c>
      <c r="C934">
        <v>16.600000000000001</v>
      </c>
      <c r="D934">
        <v>4</v>
      </c>
      <c r="E934" s="1" t="s">
        <v>51</v>
      </c>
      <c r="F934">
        <v>5</v>
      </c>
      <c r="G934" s="1" t="s">
        <v>40</v>
      </c>
    </row>
    <row r="935" spans="1:7" x14ac:dyDescent="0.35">
      <c r="A935" s="1" t="s">
        <v>667</v>
      </c>
      <c r="B935" s="1" t="s">
        <v>20</v>
      </c>
      <c r="C935">
        <v>43.2</v>
      </c>
      <c r="D935">
        <v>1</v>
      </c>
      <c r="E935" s="1" t="s">
        <v>51</v>
      </c>
      <c r="F935">
        <v>14</v>
      </c>
      <c r="G935" s="1" t="s">
        <v>42</v>
      </c>
    </row>
    <row r="936" spans="1:7" x14ac:dyDescent="0.35">
      <c r="A936" s="1" t="s">
        <v>652</v>
      </c>
      <c r="B936" s="1" t="s">
        <v>19</v>
      </c>
      <c r="C936">
        <v>58.01</v>
      </c>
      <c r="D936">
        <v>2</v>
      </c>
      <c r="E936" s="1" t="s">
        <v>51</v>
      </c>
      <c r="F936">
        <v>8</v>
      </c>
      <c r="G936" s="1" t="s">
        <v>41</v>
      </c>
    </row>
    <row r="937" spans="1:7" x14ac:dyDescent="0.35">
      <c r="A937" s="1" t="s">
        <v>659</v>
      </c>
      <c r="B937" s="1" t="s">
        <v>11</v>
      </c>
      <c r="C937">
        <v>41.08</v>
      </c>
      <c r="D937">
        <v>5</v>
      </c>
      <c r="E937" s="1" t="s">
        <v>51</v>
      </c>
      <c r="F937">
        <v>6</v>
      </c>
      <c r="G937" s="1" t="s">
        <v>40</v>
      </c>
    </row>
    <row r="938" spans="1:7" x14ac:dyDescent="0.35">
      <c r="A938" s="1" t="s">
        <v>665</v>
      </c>
      <c r="B938" s="1" t="s">
        <v>6</v>
      </c>
      <c r="C938">
        <v>33.200000000000003</v>
      </c>
      <c r="D938">
        <v>4</v>
      </c>
      <c r="E938" s="1" t="s">
        <v>68</v>
      </c>
      <c r="F938">
        <v>20</v>
      </c>
      <c r="G938" s="1" t="s">
        <v>43</v>
      </c>
    </row>
    <row r="939" spans="1:7" x14ac:dyDescent="0.35">
      <c r="A939" s="1" t="s">
        <v>661</v>
      </c>
      <c r="B939" s="1" t="s">
        <v>12</v>
      </c>
      <c r="C939">
        <v>48.88</v>
      </c>
      <c r="D939">
        <v>3</v>
      </c>
      <c r="E939" s="1" t="s">
        <v>51</v>
      </c>
      <c r="F939">
        <v>14</v>
      </c>
      <c r="G939" s="1" t="s">
        <v>42</v>
      </c>
    </row>
    <row r="940" spans="1:7" x14ac:dyDescent="0.35">
      <c r="A940" s="1" t="s">
        <v>650</v>
      </c>
      <c r="B940" s="1" t="s">
        <v>2</v>
      </c>
      <c r="C940">
        <v>17.7</v>
      </c>
      <c r="D940">
        <v>5</v>
      </c>
      <c r="E940" s="1" t="s">
        <v>51</v>
      </c>
      <c r="F940">
        <v>4</v>
      </c>
      <c r="G940" s="1" t="s">
        <v>40</v>
      </c>
    </row>
    <row r="941" spans="1:7" x14ac:dyDescent="0.35">
      <c r="A941" s="1" t="s">
        <v>668</v>
      </c>
      <c r="B941" s="1" t="s">
        <v>27</v>
      </c>
      <c r="C941">
        <v>32.159999999999997</v>
      </c>
      <c r="D941">
        <v>3</v>
      </c>
      <c r="E941" s="1" t="s">
        <v>51</v>
      </c>
      <c r="F941">
        <v>18</v>
      </c>
      <c r="G941" s="1" t="s">
        <v>42</v>
      </c>
    </row>
    <row r="942" spans="1:7" x14ac:dyDescent="0.35">
      <c r="A942" s="1" t="s">
        <v>669</v>
      </c>
      <c r="B942" s="1" t="s">
        <v>3</v>
      </c>
      <c r="C942">
        <v>7.99</v>
      </c>
      <c r="D942">
        <v>4</v>
      </c>
      <c r="E942" s="1" t="s">
        <v>51</v>
      </c>
      <c r="F942">
        <v>17</v>
      </c>
      <c r="G942" s="1" t="s">
        <v>43</v>
      </c>
    </row>
    <row r="943" spans="1:7" x14ac:dyDescent="0.35">
      <c r="A943" s="1" t="s">
        <v>661</v>
      </c>
      <c r="B943" s="1" t="s">
        <v>23</v>
      </c>
      <c r="C943">
        <v>5.73</v>
      </c>
      <c r="D943">
        <v>5</v>
      </c>
      <c r="E943" s="1" t="s">
        <v>51</v>
      </c>
      <c r="F943">
        <v>1</v>
      </c>
      <c r="G943" s="1" t="s">
        <v>40</v>
      </c>
    </row>
    <row r="944" spans="1:7" x14ac:dyDescent="0.35">
      <c r="A944" s="1" t="s">
        <v>670</v>
      </c>
      <c r="B944" s="1" t="s">
        <v>30</v>
      </c>
      <c r="C944">
        <v>59.26</v>
      </c>
      <c r="D944">
        <v>4</v>
      </c>
      <c r="E944" s="1" t="s">
        <v>51</v>
      </c>
      <c r="F944">
        <v>2</v>
      </c>
      <c r="G944" s="1" t="s">
        <v>40</v>
      </c>
    </row>
    <row r="945" spans="1:7" x14ac:dyDescent="0.35">
      <c r="A945" s="1" t="s">
        <v>671</v>
      </c>
      <c r="B945" s="1" t="s">
        <v>25</v>
      </c>
      <c r="C945">
        <v>55.43</v>
      </c>
      <c r="D945">
        <v>4</v>
      </c>
      <c r="E945" s="1" t="s">
        <v>51</v>
      </c>
      <c r="F945">
        <v>15</v>
      </c>
      <c r="G945" s="1" t="s">
        <v>43</v>
      </c>
    </row>
    <row r="946" spans="1:7" x14ac:dyDescent="0.35">
      <c r="A946" s="1" t="s">
        <v>672</v>
      </c>
      <c r="B946" s="1" t="s">
        <v>4</v>
      </c>
      <c r="C946">
        <v>36.14</v>
      </c>
      <c r="D946">
        <v>5</v>
      </c>
      <c r="E946" s="1" t="s">
        <v>51</v>
      </c>
      <c r="F946">
        <v>13</v>
      </c>
      <c r="G946" s="1" t="s">
        <v>43</v>
      </c>
    </row>
    <row r="947" spans="1:7" x14ac:dyDescent="0.35">
      <c r="A947" s="1" t="s">
        <v>672</v>
      </c>
      <c r="B947" s="1" t="s">
        <v>21</v>
      </c>
      <c r="C947">
        <v>28.46</v>
      </c>
      <c r="D947">
        <v>5</v>
      </c>
      <c r="E947" s="1" t="s">
        <v>51</v>
      </c>
      <c r="F947">
        <v>6</v>
      </c>
      <c r="G947" s="1" t="s">
        <v>40</v>
      </c>
    </row>
    <row r="948" spans="1:7" x14ac:dyDescent="0.35">
      <c r="A948" s="1" t="s">
        <v>665</v>
      </c>
      <c r="B948" s="1" t="s">
        <v>12</v>
      </c>
      <c r="C948">
        <v>24.5</v>
      </c>
      <c r="D948">
        <v>4</v>
      </c>
      <c r="E948" s="1" t="s">
        <v>51</v>
      </c>
      <c r="F948">
        <v>15</v>
      </c>
      <c r="G948" s="1" t="s">
        <v>43</v>
      </c>
    </row>
    <row r="949" spans="1:7" x14ac:dyDescent="0.35">
      <c r="A949" s="1" t="s">
        <v>673</v>
      </c>
      <c r="B949" s="1" t="s">
        <v>22</v>
      </c>
      <c r="C949">
        <v>5.29</v>
      </c>
      <c r="D949">
        <v>4</v>
      </c>
      <c r="E949" s="1" t="s">
        <v>51</v>
      </c>
      <c r="F949">
        <v>7</v>
      </c>
      <c r="G949" s="1" t="s">
        <v>40</v>
      </c>
    </row>
    <row r="950" spans="1:7" x14ac:dyDescent="0.35">
      <c r="A950" s="1" t="s">
        <v>668</v>
      </c>
      <c r="B950" s="1" t="s">
        <v>10</v>
      </c>
      <c r="C950">
        <v>2.39</v>
      </c>
      <c r="D950">
        <v>3</v>
      </c>
      <c r="E950" s="1" t="s">
        <v>51</v>
      </c>
      <c r="F950">
        <v>14</v>
      </c>
      <c r="G950" s="1" t="s">
        <v>42</v>
      </c>
    </row>
    <row r="951" spans="1:7" x14ac:dyDescent="0.35">
      <c r="A951" s="1" t="s">
        <v>674</v>
      </c>
      <c r="B951" s="1" t="s">
        <v>4</v>
      </c>
      <c r="C951">
        <v>52.19</v>
      </c>
      <c r="D951">
        <v>4</v>
      </c>
      <c r="E951" s="1" t="s">
        <v>51</v>
      </c>
      <c r="F951">
        <v>10</v>
      </c>
      <c r="G951" s="1" t="s">
        <v>40</v>
      </c>
    </row>
    <row r="952" spans="1:7" x14ac:dyDescent="0.35">
      <c r="A952" s="1" t="s">
        <v>675</v>
      </c>
      <c r="B952" s="1" t="s">
        <v>17</v>
      </c>
      <c r="C952">
        <v>19.93</v>
      </c>
      <c r="D952">
        <v>5</v>
      </c>
      <c r="E952" s="1" t="s">
        <v>68</v>
      </c>
      <c r="F952">
        <v>5</v>
      </c>
      <c r="G952" s="1" t="s">
        <v>40</v>
      </c>
    </row>
    <row r="953" spans="1:7" x14ac:dyDescent="0.35">
      <c r="A953" s="1" t="s">
        <v>676</v>
      </c>
      <c r="B953" s="1" t="s">
        <v>9</v>
      </c>
      <c r="C953">
        <v>10.48</v>
      </c>
      <c r="D953">
        <v>5</v>
      </c>
      <c r="E953" s="1" t="s">
        <v>51</v>
      </c>
      <c r="F953">
        <v>10</v>
      </c>
      <c r="G953" s="1" t="s">
        <v>40</v>
      </c>
    </row>
    <row r="954" spans="1:7" x14ac:dyDescent="0.35">
      <c r="A954" s="1" t="s">
        <v>677</v>
      </c>
      <c r="B954" s="1" t="s">
        <v>30</v>
      </c>
      <c r="C954">
        <v>39.479999999999997</v>
      </c>
      <c r="D954">
        <v>4</v>
      </c>
      <c r="E954" s="1" t="s">
        <v>51</v>
      </c>
      <c r="F954">
        <v>8</v>
      </c>
      <c r="G954" s="1" t="s">
        <v>40</v>
      </c>
    </row>
    <row r="955" spans="1:7" x14ac:dyDescent="0.35">
      <c r="A955" s="1" t="s">
        <v>678</v>
      </c>
      <c r="B955" s="1" t="s">
        <v>14</v>
      </c>
      <c r="C955">
        <v>11.19</v>
      </c>
      <c r="D955">
        <v>3</v>
      </c>
      <c r="E955" s="1" t="s">
        <v>51</v>
      </c>
      <c r="F955">
        <v>22</v>
      </c>
      <c r="G955" s="1" t="s">
        <v>42</v>
      </c>
    </row>
    <row r="956" spans="1:7" x14ac:dyDescent="0.35">
      <c r="A956" s="1" t="s">
        <v>679</v>
      </c>
      <c r="B956" s="1" t="s">
        <v>28</v>
      </c>
      <c r="C956">
        <v>56.63</v>
      </c>
      <c r="D956">
        <v>3</v>
      </c>
      <c r="E956" s="1" t="s">
        <v>51</v>
      </c>
      <c r="F956">
        <v>13</v>
      </c>
      <c r="G956" s="1" t="s">
        <v>42</v>
      </c>
    </row>
    <row r="957" spans="1:7" x14ac:dyDescent="0.35">
      <c r="A957" s="1" t="s">
        <v>680</v>
      </c>
      <c r="B957" s="1" t="s">
        <v>10</v>
      </c>
      <c r="C957">
        <v>11.4</v>
      </c>
      <c r="D957">
        <v>4</v>
      </c>
      <c r="E957" s="1" t="s">
        <v>51</v>
      </c>
      <c r="F957">
        <v>8</v>
      </c>
      <c r="G957" s="1" t="s">
        <v>40</v>
      </c>
    </row>
    <row r="958" spans="1:7" x14ac:dyDescent="0.35">
      <c r="A958" s="1" t="s">
        <v>681</v>
      </c>
      <c r="B958" s="1" t="s">
        <v>18</v>
      </c>
      <c r="C958">
        <v>44.53</v>
      </c>
      <c r="D958">
        <v>4</v>
      </c>
      <c r="E958" s="1" t="s">
        <v>51</v>
      </c>
      <c r="F958">
        <v>16</v>
      </c>
      <c r="G958" s="1" t="s">
        <v>43</v>
      </c>
    </row>
    <row r="959" spans="1:7" x14ac:dyDescent="0.35">
      <c r="A959" s="1" t="s">
        <v>679</v>
      </c>
      <c r="B959" s="1" t="s">
        <v>9</v>
      </c>
      <c r="C959">
        <v>43.98</v>
      </c>
      <c r="D959">
        <v>3</v>
      </c>
      <c r="E959" s="1" t="s">
        <v>51</v>
      </c>
      <c r="F959">
        <v>6</v>
      </c>
      <c r="G959" s="1" t="s">
        <v>41</v>
      </c>
    </row>
    <row r="960" spans="1:7" x14ac:dyDescent="0.35">
      <c r="A960" s="1" t="s">
        <v>682</v>
      </c>
      <c r="B960" s="1" t="s">
        <v>7</v>
      </c>
      <c r="C960">
        <v>16.82</v>
      </c>
      <c r="D960">
        <v>4</v>
      </c>
      <c r="E960" s="1" t="s">
        <v>51</v>
      </c>
      <c r="F960">
        <v>8</v>
      </c>
      <c r="G960" s="1" t="s">
        <v>40</v>
      </c>
    </row>
    <row r="961" spans="1:7" x14ac:dyDescent="0.35">
      <c r="A961" s="1" t="s">
        <v>683</v>
      </c>
      <c r="B961" s="1" t="s">
        <v>12</v>
      </c>
      <c r="C961">
        <v>11.88</v>
      </c>
      <c r="D961">
        <v>4</v>
      </c>
      <c r="E961" s="1" t="s">
        <v>51</v>
      </c>
      <c r="F961">
        <v>3</v>
      </c>
      <c r="G961" s="1" t="s">
        <v>40</v>
      </c>
    </row>
    <row r="962" spans="1:7" x14ac:dyDescent="0.35">
      <c r="A962" s="1" t="s">
        <v>684</v>
      </c>
      <c r="B962" s="1" t="s">
        <v>28</v>
      </c>
      <c r="C962">
        <v>13.31</v>
      </c>
      <c r="D962">
        <v>4</v>
      </c>
      <c r="E962" s="1" t="s">
        <v>51</v>
      </c>
      <c r="F962">
        <v>9</v>
      </c>
      <c r="G962" s="1" t="s">
        <v>40</v>
      </c>
    </row>
    <row r="963" spans="1:7" x14ac:dyDescent="0.35">
      <c r="A963" s="1" t="s">
        <v>685</v>
      </c>
      <c r="B963" s="1" t="s">
        <v>23</v>
      </c>
      <c r="C963">
        <v>10.220000000000001</v>
      </c>
      <c r="D963">
        <v>3</v>
      </c>
      <c r="E963" s="1" t="s">
        <v>51</v>
      </c>
      <c r="F963">
        <v>18</v>
      </c>
      <c r="G963" s="1" t="s">
        <v>42</v>
      </c>
    </row>
    <row r="964" spans="1:7" x14ac:dyDescent="0.35">
      <c r="A964" s="1" t="s">
        <v>686</v>
      </c>
      <c r="B964" s="1" t="s">
        <v>14</v>
      </c>
      <c r="C964">
        <v>49.2</v>
      </c>
      <c r="D964">
        <v>2</v>
      </c>
      <c r="E964" s="1" t="s">
        <v>68</v>
      </c>
      <c r="F964">
        <v>14</v>
      </c>
      <c r="G964" s="1" t="s">
        <v>42</v>
      </c>
    </row>
    <row r="965" spans="1:7" x14ac:dyDescent="0.35">
      <c r="A965" s="1" t="s">
        <v>687</v>
      </c>
      <c r="B965" s="1" t="s">
        <v>19</v>
      </c>
      <c r="C965">
        <v>1.1599999999999999</v>
      </c>
      <c r="D965">
        <v>5</v>
      </c>
      <c r="E965" s="1" t="s">
        <v>61</v>
      </c>
      <c r="F965">
        <v>0</v>
      </c>
      <c r="G965" s="1" t="s">
        <v>40</v>
      </c>
    </row>
    <row r="966" spans="1:7" x14ac:dyDescent="0.35">
      <c r="A966" s="1" t="s">
        <v>688</v>
      </c>
      <c r="B966" s="1" t="s">
        <v>10</v>
      </c>
      <c r="C966">
        <v>37.56</v>
      </c>
      <c r="D966">
        <v>3</v>
      </c>
      <c r="E966" s="1" t="s">
        <v>51</v>
      </c>
      <c r="F966">
        <v>2</v>
      </c>
      <c r="G966" s="1" t="s">
        <v>41</v>
      </c>
    </row>
    <row r="967" spans="1:7" x14ac:dyDescent="0.35">
      <c r="A967" s="1" t="s">
        <v>689</v>
      </c>
      <c r="B967" s="1" t="s">
        <v>11</v>
      </c>
      <c r="C967">
        <v>14.35</v>
      </c>
      <c r="D967">
        <v>3</v>
      </c>
      <c r="E967" s="1" t="s">
        <v>51</v>
      </c>
      <c r="F967">
        <v>22</v>
      </c>
      <c r="G967" s="1" t="s">
        <v>42</v>
      </c>
    </row>
    <row r="968" spans="1:7" x14ac:dyDescent="0.35">
      <c r="A968" s="1" t="s">
        <v>678</v>
      </c>
      <c r="B968" s="1" t="s">
        <v>3</v>
      </c>
      <c r="C968">
        <v>48.89</v>
      </c>
      <c r="D968">
        <v>1</v>
      </c>
      <c r="E968" s="1" t="s">
        <v>51</v>
      </c>
      <c r="F968">
        <v>18</v>
      </c>
      <c r="G968" s="1" t="s">
        <v>42</v>
      </c>
    </row>
    <row r="969" spans="1:7" x14ac:dyDescent="0.35">
      <c r="A969" s="1" t="s">
        <v>683</v>
      </c>
      <c r="B969" s="1" t="s">
        <v>5</v>
      </c>
      <c r="C969">
        <v>15.32</v>
      </c>
      <c r="D969">
        <v>4</v>
      </c>
      <c r="E969" s="1" t="s">
        <v>51</v>
      </c>
      <c r="F969">
        <v>16</v>
      </c>
      <c r="G969" s="1" t="s">
        <v>43</v>
      </c>
    </row>
    <row r="970" spans="1:7" x14ac:dyDescent="0.35">
      <c r="A970" s="1" t="s">
        <v>690</v>
      </c>
      <c r="B970" s="1" t="s">
        <v>26</v>
      </c>
      <c r="C970">
        <v>14.51</v>
      </c>
      <c r="D970">
        <v>4</v>
      </c>
      <c r="E970" s="1" t="s">
        <v>51</v>
      </c>
      <c r="F970">
        <v>13</v>
      </c>
      <c r="G970" s="1" t="s">
        <v>43</v>
      </c>
    </row>
    <row r="971" spans="1:7" x14ac:dyDescent="0.35">
      <c r="A971" s="1" t="s">
        <v>691</v>
      </c>
      <c r="B971" s="1" t="s">
        <v>3</v>
      </c>
      <c r="C971">
        <v>34.69</v>
      </c>
      <c r="D971">
        <v>3</v>
      </c>
      <c r="E971" s="1" t="s">
        <v>51</v>
      </c>
      <c r="F971">
        <v>18</v>
      </c>
      <c r="G971" s="1" t="s">
        <v>42</v>
      </c>
    </row>
    <row r="972" spans="1:7" x14ac:dyDescent="0.35">
      <c r="A972" s="1" t="s">
        <v>692</v>
      </c>
      <c r="B972" s="1" t="s">
        <v>4</v>
      </c>
      <c r="C972">
        <v>50.63</v>
      </c>
      <c r="D972">
        <v>4</v>
      </c>
      <c r="E972" s="1" t="s">
        <v>51</v>
      </c>
      <c r="F972">
        <v>19</v>
      </c>
      <c r="G972" s="1" t="s">
        <v>43</v>
      </c>
    </row>
    <row r="973" spans="1:7" x14ac:dyDescent="0.35">
      <c r="A973" s="1" t="s">
        <v>693</v>
      </c>
      <c r="B973" s="1" t="s">
        <v>14</v>
      </c>
      <c r="C973">
        <v>11.64</v>
      </c>
      <c r="D973">
        <v>5</v>
      </c>
      <c r="E973" s="1" t="s">
        <v>51</v>
      </c>
      <c r="F973">
        <v>18</v>
      </c>
      <c r="G973" s="1" t="s">
        <v>43</v>
      </c>
    </row>
    <row r="974" spans="1:7" x14ac:dyDescent="0.35">
      <c r="A974" s="1" t="s">
        <v>681</v>
      </c>
      <c r="B974" s="1" t="s">
        <v>20</v>
      </c>
      <c r="C974">
        <v>40.26</v>
      </c>
      <c r="D974">
        <v>5</v>
      </c>
      <c r="E974" s="1" t="s">
        <v>51</v>
      </c>
      <c r="F974">
        <v>17</v>
      </c>
      <c r="G974" s="1" t="s">
        <v>43</v>
      </c>
    </row>
    <row r="975" spans="1:7" x14ac:dyDescent="0.35">
      <c r="A975" s="1" t="s">
        <v>689</v>
      </c>
      <c r="B975" s="1" t="s">
        <v>5</v>
      </c>
      <c r="C975">
        <v>39.840000000000003</v>
      </c>
      <c r="D975">
        <v>5</v>
      </c>
      <c r="E975" s="1" t="s">
        <v>51</v>
      </c>
      <c r="F975">
        <v>7</v>
      </c>
      <c r="G975" s="1" t="s">
        <v>40</v>
      </c>
    </row>
    <row r="976" spans="1:7" x14ac:dyDescent="0.35">
      <c r="A976" s="1" t="s">
        <v>694</v>
      </c>
      <c r="B976" s="1" t="s">
        <v>29</v>
      </c>
      <c r="C976">
        <v>59.33</v>
      </c>
      <c r="D976">
        <v>4</v>
      </c>
      <c r="E976" s="1" t="s">
        <v>51</v>
      </c>
      <c r="F976">
        <v>7</v>
      </c>
      <c r="G976" s="1" t="s">
        <v>40</v>
      </c>
    </row>
    <row r="977" spans="1:7" x14ac:dyDescent="0.35">
      <c r="A977" s="1" t="s">
        <v>684</v>
      </c>
      <c r="B977" s="1" t="s">
        <v>26</v>
      </c>
      <c r="C977">
        <v>27.16</v>
      </c>
      <c r="D977">
        <v>2</v>
      </c>
      <c r="E977" s="1" t="s">
        <v>51</v>
      </c>
      <c r="F977">
        <v>9</v>
      </c>
      <c r="G977" s="1" t="s">
        <v>41</v>
      </c>
    </row>
    <row r="978" spans="1:7" x14ac:dyDescent="0.35">
      <c r="A978" s="1" t="s">
        <v>695</v>
      </c>
      <c r="B978" s="1" t="s">
        <v>30</v>
      </c>
      <c r="C978">
        <v>12.84</v>
      </c>
      <c r="D978">
        <v>4</v>
      </c>
      <c r="E978" s="1" t="s">
        <v>51</v>
      </c>
      <c r="F978">
        <v>10</v>
      </c>
      <c r="G978" s="1" t="s">
        <v>40</v>
      </c>
    </row>
    <row r="979" spans="1:7" x14ac:dyDescent="0.35">
      <c r="A979" s="1" t="s">
        <v>696</v>
      </c>
      <c r="B979" s="1" t="s">
        <v>19</v>
      </c>
      <c r="C979">
        <v>4.24</v>
      </c>
      <c r="D979">
        <v>5</v>
      </c>
      <c r="E979" s="1" t="s">
        <v>68</v>
      </c>
      <c r="F979">
        <v>13</v>
      </c>
      <c r="G979" s="1" t="s">
        <v>43</v>
      </c>
    </row>
    <row r="980" spans="1:7" x14ac:dyDescent="0.35">
      <c r="A980" s="1" t="s">
        <v>697</v>
      </c>
      <c r="B980" s="1" t="s">
        <v>2</v>
      </c>
      <c r="C980">
        <v>25.21</v>
      </c>
      <c r="D980">
        <v>1</v>
      </c>
      <c r="E980" s="1" t="s">
        <v>61</v>
      </c>
      <c r="F980">
        <v>0</v>
      </c>
      <c r="G980" s="1" t="s">
        <v>41</v>
      </c>
    </row>
    <row r="981" spans="1:7" x14ac:dyDescent="0.35">
      <c r="A981" s="1" t="s">
        <v>698</v>
      </c>
      <c r="B981" s="1" t="s">
        <v>25</v>
      </c>
      <c r="C981">
        <v>57.1</v>
      </c>
      <c r="D981">
        <v>5</v>
      </c>
      <c r="E981" s="1" t="s">
        <v>51</v>
      </c>
      <c r="F981">
        <v>14</v>
      </c>
      <c r="G981" s="1" t="s">
        <v>43</v>
      </c>
    </row>
    <row r="982" spans="1:7" x14ac:dyDescent="0.35">
      <c r="A982" s="1" t="s">
        <v>699</v>
      </c>
      <c r="B982" s="1" t="s">
        <v>13</v>
      </c>
      <c r="C982">
        <v>34.31</v>
      </c>
      <c r="D982">
        <v>3</v>
      </c>
      <c r="E982" s="1" t="s">
        <v>51</v>
      </c>
      <c r="F982">
        <v>2</v>
      </c>
      <c r="G982" s="1" t="s">
        <v>41</v>
      </c>
    </row>
    <row r="983" spans="1:7" x14ac:dyDescent="0.35">
      <c r="A983" s="1" t="s">
        <v>700</v>
      </c>
      <c r="B983" s="1" t="s">
        <v>8</v>
      </c>
      <c r="C983">
        <v>22.17</v>
      </c>
      <c r="D983">
        <v>3</v>
      </c>
      <c r="E983" s="1" t="s">
        <v>51</v>
      </c>
      <c r="F983">
        <v>8</v>
      </c>
      <c r="G983" s="1" t="s">
        <v>41</v>
      </c>
    </row>
    <row r="984" spans="1:7" x14ac:dyDescent="0.35">
      <c r="A984" s="1" t="s">
        <v>701</v>
      </c>
      <c r="B984" s="1" t="s">
        <v>17</v>
      </c>
      <c r="C984">
        <v>29.42</v>
      </c>
      <c r="D984">
        <v>5</v>
      </c>
      <c r="E984" s="1" t="s">
        <v>51</v>
      </c>
      <c r="F984">
        <v>13</v>
      </c>
      <c r="G984" s="1" t="s">
        <v>43</v>
      </c>
    </row>
    <row r="985" spans="1:7" x14ac:dyDescent="0.35">
      <c r="A985" s="1" t="s">
        <v>701</v>
      </c>
      <c r="B985" s="1" t="s">
        <v>24</v>
      </c>
      <c r="C985">
        <v>57.41</v>
      </c>
      <c r="D985">
        <v>4</v>
      </c>
      <c r="E985" s="1" t="s">
        <v>51</v>
      </c>
      <c r="F985">
        <v>15</v>
      </c>
      <c r="G985" s="1" t="s">
        <v>43</v>
      </c>
    </row>
    <row r="986" spans="1:7" x14ac:dyDescent="0.35">
      <c r="A986" s="1" t="s">
        <v>702</v>
      </c>
      <c r="B986" s="1" t="s">
        <v>2</v>
      </c>
      <c r="C986">
        <v>4.96</v>
      </c>
      <c r="D986">
        <v>4</v>
      </c>
      <c r="E986" s="1" t="s">
        <v>68</v>
      </c>
      <c r="F986">
        <v>3</v>
      </c>
      <c r="G986" s="1" t="s">
        <v>40</v>
      </c>
    </row>
    <row r="987" spans="1:7" x14ac:dyDescent="0.35">
      <c r="A987" s="1" t="s">
        <v>703</v>
      </c>
      <c r="B987" s="1" t="s">
        <v>3</v>
      </c>
      <c r="C987">
        <v>18.11</v>
      </c>
      <c r="D987">
        <v>3</v>
      </c>
      <c r="E987" s="1" t="s">
        <v>51</v>
      </c>
      <c r="F987">
        <v>14</v>
      </c>
      <c r="G987" s="1" t="s">
        <v>42</v>
      </c>
    </row>
    <row r="988" spans="1:7" x14ac:dyDescent="0.35">
      <c r="A988" s="1" t="s">
        <v>704</v>
      </c>
      <c r="B988" s="1" t="s">
        <v>16</v>
      </c>
      <c r="C988">
        <v>9</v>
      </c>
      <c r="D988">
        <v>5</v>
      </c>
      <c r="E988" s="1" t="s">
        <v>51</v>
      </c>
      <c r="F988">
        <v>16</v>
      </c>
      <c r="G988" s="1" t="s">
        <v>43</v>
      </c>
    </row>
    <row r="989" spans="1:7" x14ac:dyDescent="0.35">
      <c r="A989" s="1" t="s">
        <v>682</v>
      </c>
      <c r="B989" s="1" t="s">
        <v>7</v>
      </c>
      <c r="C989">
        <v>41.1</v>
      </c>
      <c r="D989">
        <v>3</v>
      </c>
      <c r="E989" s="1" t="s">
        <v>51</v>
      </c>
      <c r="F989">
        <v>20</v>
      </c>
      <c r="G989" s="1" t="s">
        <v>42</v>
      </c>
    </row>
    <row r="990" spans="1:7" x14ac:dyDescent="0.35">
      <c r="A990" s="1" t="s">
        <v>704</v>
      </c>
      <c r="B990" s="1" t="s">
        <v>20</v>
      </c>
      <c r="C990">
        <v>25.93</v>
      </c>
      <c r="D990">
        <v>5</v>
      </c>
      <c r="E990" s="1" t="s">
        <v>51</v>
      </c>
      <c r="F990">
        <v>13</v>
      </c>
      <c r="G990" s="1" t="s">
        <v>43</v>
      </c>
    </row>
    <row r="991" spans="1:7" x14ac:dyDescent="0.35">
      <c r="A991" s="1" t="s">
        <v>705</v>
      </c>
      <c r="B991" s="1" t="s">
        <v>19</v>
      </c>
      <c r="C991">
        <v>37.32</v>
      </c>
      <c r="D991">
        <v>4</v>
      </c>
      <c r="E991" s="1" t="s">
        <v>51</v>
      </c>
      <c r="F991">
        <v>18</v>
      </c>
      <c r="G991" s="1" t="s">
        <v>43</v>
      </c>
    </row>
    <row r="992" spans="1:7" x14ac:dyDescent="0.35">
      <c r="A992" s="1" t="s">
        <v>702</v>
      </c>
      <c r="B992" s="1" t="s">
        <v>14</v>
      </c>
      <c r="C992">
        <v>18.22</v>
      </c>
      <c r="D992">
        <v>1</v>
      </c>
      <c r="E992" s="1" t="s">
        <v>51</v>
      </c>
      <c r="F992">
        <v>19</v>
      </c>
      <c r="G992" s="1" t="s">
        <v>42</v>
      </c>
    </row>
    <row r="993" spans="1:7" x14ac:dyDescent="0.35">
      <c r="A993" s="1" t="s">
        <v>702</v>
      </c>
      <c r="B993" s="1" t="s">
        <v>13</v>
      </c>
      <c r="C993">
        <v>11.6</v>
      </c>
      <c r="D993">
        <v>4</v>
      </c>
      <c r="E993" s="1" t="s">
        <v>51</v>
      </c>
      <c r="F993">
        <v>15</v>
      </c>
      <c r="G993" s="1" t="s">
        <v>43</v>
      </c>
    </row>
    <row r="994" spans="1:7" x14ac:dyDescent="0.35">
      <c r="A994" s="1" t="s">
        <v>705</v>
      </c>
      <c r="B994" s="1" t="s">
        <v>9</v>
      </c>
      <c r="C994">
        <v>43.75</v>
      </c>
      <c r="D994">
        <v>2</v>
      </c>
      <c r="E994" s="1" t="s">
        <v>51</v>
      </c>
      <c r="F994">
        <v>1</v>
      </c>
      <c r="G994" s="1" t="s">
        <v>41</v>
      </c>
    </row>
    <row r="995" spans="1:7" x14ac:dyDescent="0.35">
      <c r="A995" s="1" t="s">
        <v>687</v>
      </c>
      <c r="B995" s="1" t="s">
        <v>5</v>
      </c>
      <c r="C995">
        <v>54.16</v>
      </c>
      <c r="D995">
        <v>4</v>
      </c>
      <c r="E995" s="1" t="s">
        <v>51</v>
      </c>
      <c r="F995">
        <v>1</v>
      </c>
      <c r="G995" s="1" t="s">
        <v>40</v>
      </c>
    </row>
    <row r="996" spans="1:7" x14ac:dyDescent="0.35">
      <c r="A996" s="1" t="s">
        <v>706</v>
      </c>
      <c r="B996" s="1" t="s">
        <v>9</v>
      </c>
      <c r="C996">
        <v>10.4</v>
      </c>
      <c r="D996">
        <v>3</v>
      </c>
      <c r="E996" s="1" t="s">
        <v>51</v>
      </c>
      <c r="F996">
        <v>14</v>
      </c>
      <c r="G996" s="1" t="s">
        <v>42</v>
      </c>
    </row>
    <row r="997" spans="1:7" x14ac:dyDescent="0.35">
      <c r="A997" s="1" t="s">
        <v>676</v>
      </c>
      <c r="B997" s="1" t="s">
        <v>12</v>
      </c>
      <c r="C997">
        <v>6.24</v>
      </c>
      <c r="D997">
        <v>4</v>
      </c>
      <c r="E997" s="1" t="s">
        <v>51</v>
      </c>
      <c r="F997">
        <v>19</v>
      </c>
      <c r="G997" s="1" t="s">
        <v>43</v>
      </c>
    </row>
    <row r="998" spans="1:7" x14ac:dyDescent="0.35">
      <c r="A998" s="1" t="s">
        <v>678</v>
      </c>
      <c r="B998" s="1" t="s">
        <v>16</v>
      </c>
      <c r="C998">
        <v>25.85</v>
      </c>
      <c r="D998">
        <v>4</v>
      </c>
      <c r="E998" s="1" t="s">
        <v>68</v>
      </c>
      <c r="F998">
        <v>9</v>
      </c>
      <c r="G998" s="1" t="s">
        <v>40</v>
      </c>
    </row>
    <row r="999" spans="1:7" x14ac:dyDescent="0.35">
      <c r="A999" s="1" t="s">
        <v>683</v>
      </c>
      <c r="B999" s="1" t="s">
        <v>8</v>
      </c>
      <c r="C999">
        <v>39.79</v>
      </c>
      <c r="D999">
        <v>4</v>
      </c>
      <c r="E999" s="1" t="s">
        <v>51</v>
      </c>
      <c r="F999">
        <v>1</v>
      </c>
      <c r="G999" s="1" t="s">
        <v>40</v>
      </c>
    </row>
    <row r="1000" spans="1:7" x14ac:dyDescent="0.35">
      <c r="A1000" s="1" t="s">
        <v>679</v>
      </c>
      <c r="B1000" s="1" t="s">
        <v>30</v>
      </c>
      <c r="C1000">
        <v>18.32</v>
      </c>
      <c r="D1000">
        <v>4</v>
      </c>
      <c r="E1000" s="1" t="s">
        <v>51</v>
      </c>
      <c r="F1000">
        <v>10</v>
      </c>
      <c r="G1000" s="1" t="s">
        <v>40</v>
      </c>
    </row>
    <row r="1001" spans="1:7" x14ac:dyDescent="0.35">
      <c r="A1001" s="1" t="s">
        <v>702</v>
      </c>
      <c r="B1001" s="1" t="s">
        <v>24</v>
      </c>
      <c r="C1001">
        <v>33.25</v>
      </c>
      <c r="D1001">
        <v>2</v>
      </c>
      <c r="E1001" s="1" t="s">
        <v>68</v>
      </c>
      <c r="F1001">
        <v>19</v>
      </c>
      <c r="G1001" s="1" t="s">
        <v>42</v>
      </c>
    </row>
  </sheetData>
  <phoneticPr fontId="1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FF2DD-A8AA-400B-B8EB-39893F4810A3}">
  <sheetPr codeName="Sheet2"/>
  <dimension ref="A1:AS35"/>
  <sheetViews>
    <sheetView topLeftCell="AI1" workbookViewId="0">
      <selection activeCell="AO11" sqref="AO11"/>
    </sheetView>
  </sheetViews>
  <sheetFormatPr defaultRowHeight="14.5" x14ac:dyDescent="0.35"/>
  <cols>
    <col min="1" max="1" width="14.90625" bestFit="1" customWidth="1"/>
    <col min="2" max="2" width="15.36328125" bestFit="1" customWidth="1"/>
    <col min="5" max="5" width="14.54296875" bestFit="1" customWidth="1"/>
    <col min="6" max="6" width="15.453125" bestFit="1" customWidth="1"/>
    <col min="9" max="9" width="14.26953125" bestFit="1" customWidth="1"/>
    <col min="10" max="10" width="15.36328125" bestFit="1" customWidth="1"/>
    <col min="11" max="11" width="10" bestFit="1" customWidth="1"/>
    <col min="15" max="15" width="14.54296875" bestFit="1" customWidth="1"/>
    <col min="16" max="16" width="14.90625" bestFit="1" customWidth="1"/>
    <col min="17" max="17" width="11.36328125" bestFit="1" customWidth="1"/>
    <col min="18" max="18" width="11.7265625" bestFit="1" customWidth="1"/>
    <col min="19" max="19" width="9.08984375" bestFit="1" customWidth="1"/>
    <col min="20" max="20" width="9.08984375" customWidth="1"/>
    <col min="21" max="21" width="14.54296875" bestFit="1" customWidth="1"/>
    <col min="22" max="22" width="23.6328125" customWidth="1"/>
    <col min="23" max="23" width="10.90625" bestFit="1" customWidth="1"/>
    <col min="25" max="25" width="18.1796875" bestFit="1" customWidth="1"/>
    <col min="26" max="26" width="15.453125" bestFit="1" customWidth="1"/>
    <col min="27" max="27" width="15.453125" customWidth="1"/>
    <col min="29" max="29" width="10.81640625" bestFit="1" customWidth="1"/>
    <col min="30" max="30" width="15.81640625" bestFit="1" customWidth="1"/>
    <col min="31" max="31" width="15.453125" bestFit="1" customWidth="1"/>
    <col min="32" max="32" width="15.453125" customWidth="1"/>
    <col min="33" max="33" width="18.1796875" bestFit="1" customWidth="1"/>
    <col min="34" max="34" width="15.453125" bestFit="1" customWidth="1"/>
    <col min="35" max="35" width="13.26953125" bestFit="1" customWidth="1"/>
    <col min="36" max="36" width="13.26953125" customWidth="1"/>
    <col min="37" max="37" width="15.90625" bestFit="1" customWidth="1"/>
    <col min="38" max="38" width="13.26953125" customWidth="1"/>
    <col min="39" max="39" width="12.1796875" bestFit="1" customWidth="1"/>
    <col min="40" max="40" width="12.1796875" customWidth="1"/>
    <col min="41" max="41" width="10.6328125" bestFit="1" customWidth="1"/>
    <col min="42" max="42" width="14.453125" bestFit="1" customWidth="1"/>
    <col min="43" max="43" width="8.36328125" bestFit="1" customWidth="1"/>
    <col min="44" max="44" width="11.26953125" bestFit="1" customWidth="1"/>
    <col min="45" max="45" width="17.1796875" bestFit="1" customWidth="1"/>
  </cols>
  <sheetData>
    <row r="1" spans="1:45" ht="17" x14ac:dyDescent="0.4">
      <c r="D1" s="32" t="s">
        <v>33</v>
      </c>
      <c r="E1" s="32"/>
      <c r="F1" s="32"/>
      <c r="G1" s="32"/>
      <c r="H1" s="32"/>
      <c r="I1" s="32"/>
      <c r="O1" s="32" t="s">
        <v>710</v>
      </c>
      <c r="P1" s="32"/>
      <c r="Q1" s="32"/>
      <c r="R1" s="32"/>
      <c r="AM1" s="13"/>
      <c r="AN1" s="13"/>
      <c r="AO1" s="33" t="s">
        <v>718</v>
      </c>
      <c r="AP1" s="33"/>
      <c r="AQ1" s="33"/>
      <c r="AR1" s="33"/>
    </row>
    <row r="2" spans="1:45" x14ac:dyDescent="0.35">
      <c r="Y2" s="33" t="s">
        <v>752</v>
      </c>
      <c r="Z2" s="33"/>
      <c r="AA2" s="33"/>
    </row>
    <row r="3" spans="1:45" x14ac:dyDescent="0.35">
      <c r="A3" s="34" t="s">
        <v>740</v>
      </c>
      <c r="B3" s="34"/>
      <c r="C3" s="34"/>
      <c r="N3" s="12"/>
      <c r="O3" s="2" t="s">
        <v>0</v>
      </c>
      <c r="P3" t="s">
        <v>726</v>
      </c>
      <c r="Q3" t="s">
        <v>728</v>
      </c>
      <c r="R3" t="s">
        <v>727</v>
      </c>
      <c r="S3" s="12" t="s">
        <v>729</v>
      </c>
      <c r="T3" s="12"/>
      <c r="U3" s="12" t="s">
        <v>0</v>
      </c>
      <c r="V3" s="12" t="s">
        <v>747</v>
      </c>
      <c r="W3" s="12"/>
      <c r="X3" s="12"/>
      <c r="Y3" s="2" t="s">
        <v>730</v>
      </c>
      <c r="Z3" t="s">
        <v>31</v>
      </c>
      <c r="AA3" s="12" t="s">
        <v>731</v>
      </c>
      <c r="AD3" s="2" t="s">
        <v>730</v>
      </c>
      <c r="AE3" t="s" vm="1">
        <v>40</v>
      </c>
      <c r="AG3" s="2" t="s">
        <v>730</v>
      </c>
      <c r="AH3" t="s">
        <v>31</v>
      </c>
      <c r="AI3" s="12"/>
      <c r="AJ3" s="12"/>
      <c r="AK3" s="12" t="str">
        <f>AG3</f>
        <v>Demand Category</v>
      </c>
      <c r="AL3" s="12" t="str">
        <f>AH3</f>
        <v>Number of Books</v>
      </c>
      <c r="AM3" s="12" t="s">
        <v>731</v>
      </c>
      <c r="AN3" s="12"/>
    </row>
    <row r="4" spans="1:45" x14ac:dyDescent="0.35">
      <c r="A4" t="s">
        <v>0</v>
      </c>
      <c r="B4" t="s">
        <v>31</v>
      </c>
      <c r="E4" s="2" t="s">
        <v>0</v>
      </c>
      <c r="F4" t="s">
        <v>31</v>
      </c>
      <c r="I4" s="4" t="s">
        <v>0</v>
      </c>
      <c r="J4" s="4" t="s">
        <v>31</v>
      </c>
      <c r="N4" s="8"/>
      <c r="O4" s="3" t="s">
        <v>29</v>
      </c>
      <c r="P4" s="1">
        <v>41.508333333333333</v>
      </c>
      <c r="Q4" s="1">
        <v>11.28</v>
      </c>
      <c r="R4" s="1">
        <v>59.33</v>
      </c>
      <c r="S4" s="8">
        <f>R4-Q4</f>
        <v>48.05</v>
      </c>
      <c r="T4" s="8"/>
      <c r="U4" s="8" t="str">
        <f>O4</f>
        <v>Academic</v>
      </c>
      <c r="V4" s="8">
        <f>P4</f>
        <v>41.508333333333333</v>
      </c>
      <c r="W4" s="8"/>
      <c r="X4" s="8"/>
      <c r="Y4" s="3" t="s">
        <v>40</v>
      </c>
      <c r="Z4" s="1">
        <v>337</v>
      </c>
      <c r="AA4" s="6">
        <f>Z4/SUM($Z$4:$Z$7)</f>
        <v>0.33700000000000002</v>
      </c>
      <c r="AG4" s="3" t="s">
        <v>40</v>
      </c>
      <c r="AH4" s="1">
        <v>337</v>
      </c>
      <c r="AI4" s="6"/>
      <c r="AJ4" s="6"/>
      <c r="AK4" s="3" t="str">
        <f t="shared" ref="AK4:AK7" si="0">AG4</f>
        <v>Demand Gap</v>
      </c>
      <c r="AL4" s="1">
        <f>AH4</f>
        <v>337</v>
      </c>
      <c r="AM4" s="6">
        <f>AL4/SUM($AL$4:$AL$7)</f>
        <v>0.33700000000000002</v>
      </c>
      <c r="AN4" s="6"/>
      <c r="AO4" t="s">
        <v>719</v>
      </c>
      <c r="AP4" t="s">
        <v>720</v>
      </c>
      <c r="AQ4" t="s">
        <v>721</v>
      </c>
      <c r="AR4" t="s">
        <v>724</v>
      </c>
      <c r="AS4" t="s">
        <v>725</v>
      </c>
    </row>
    <row r="5" spans="1:45" x14ac:dyDescent="0.35">
      <c r="A5" t="str">
        <f>E5</f>
        <v>Womens Fiction</v>
      </c>
      <c r="B5">
        <f>F5</f>
        <v>44</v>
      </c>
      <c r="E5" s="3" t="s">
        <v>2</v>
      </c>
      <c r="F5" s="1">
        <v>44</v>
      </c>
      <c r="I5" t="str">
        <f>E5</f>
        <v>Womens Fiction</v>
      </c>
      <c r="J5">
        <f>F5</f>
        <v>44</v>
      </c>
      <c r="N5" s="8"/>
      <c r="O5" s="3" t="s">
        <v>5</v>
      </c>
      <c r="P5" s="1">
        <v>36.147037037037038</v>
      </c>
      <c r="Q5" s="1">
        <v>10.57</v>
      </c>
      <c r="R5" s="1">
        <v>58.36</v>
      </c>
      <c r="S5" s="8">
        <f t="shared" ref="S5:S33" si="1">R5-Q5</f>
        <v>47.79</v>
      </c>
      <c r="T5" s="8"/>
      <c r="U5" s="8" t="str">
        <f t="shared" ref="U5:U33" si="2">O5</f>
        <v>Thriller</v>
      </c>
      <c r="V5" s="8">
        <f t="shared" ref="V5:V33" si="3">P5</f>
        <v>36.147037037037038</v>
      </c>
      <c r="W5" s="8"/>
      <c r="X5" s="8"/>
      <c r="Y5" s="3" t="s">
        <v>41</v>
      </c>
      <c r="Z5" s="1">
        <v>164</v>
      </c>
      <c r="AA5" s="6">
        <f t="shared" ref="AA5:AA7" si="4">Z5/SUM($Z$4:$Z$7)</f>
        <v>0.16400000000000001</v>
      </c>
      <c r="AD5" s="2" t="s">
        <v>0</v>
      </c>
      <c r="AE5" t="s">
        <v>31</v>
      </c>
      <c r="AG5" s="3" t="s">
        <v>41</v>
      </c>
      <c r="AH5" s="1">
        <v>164</v>
      </c>
      <c r="AI5" s="6"/>
      <c r="AJ5" s="6"/>
      <c r="AK5" s="3" t="str">
        <f t="shared" si="0"/>
        <v>Low Priority</v>
      </c>
      <c r="AL5" s="1">
        <f t="shared" ref="AL5:AL7" si="5">AH5</f>
        <v>164</v>
      </c>
      <c r="AM5" s="6">
        <f t="shared" ref="AM5:AM7" si="6">AL5/SUM($AL$4:$AL$7)</f>
        <v>0.16400000000000001</v>
      </c>
      <c r="AN5" s="6"/>
      <c r="AO5" s="25">
        <v>1000</v>
      </c>
      <c r="AP5" s="26">
        <v>10.678000000000001</v>
      </c>
      <c r="AQ5" s="27">
        <v>30.497439999999997</v>
      </c>
      <c r="AR5" s="8">
        <v>3.7650000000000001</v>
      </c>
      <c r="AS5" s="1">
        <v>0</v>
      </c>
    </row>
    <row r="6" spans="1:45" x14ac:dyDescent="0.35">
      <c r="A6" t="str">
        <f t="shared" ref="A6:A11" si="7">E6</f>
        <v>Music</v>
      </c>
      <c r="B6">
        <f t="shared" ref="B6:B11" si="8">F6</f>
        <v>42</v>
      </c>
      <c r="E6" s="3" t="s">
        <v>25</v>
      </c>
      <c r="F6" s="1">
        <v>42</v>
      </c>
      <c r="I6" t="str">
        <f t="shared" ref="I6:I13" si="9">E6</f>
        <v>Music</v>
      </c>
      <c r="J6">
        <f t="shared" ref="J6:J13" si="10">F6</f>
        <v>42</v>
      </c>
      <c r="N6" s="8"/>
      <c r="O6" s="3" t="s">
        <v>4</v>
      </c>
      <c r="P6" s="1">
        <v>33.68105263157895</v>
      </c>
      <c r="Q6" s="1">
        <v>4.87</v>
      </c>
      <c r="R6" s="1">
        <v>57.26</v>
      </c>
      <c r="S6" s="8">
        <f t="shared" si="1"/>
        <v>52.39</v>
      </c>
      <c r="T6" s="8"/>
      <c r="U6" s="8" t="str">
        <f t="shared" si="2"/>
        <v>Classics</v>
      </c>
      <c r="V6" s="8">
        <f t="shared" si="3"/>
        <v>33.68105263157895</v>
      </c>
      <c r="W6" s="8"/>
      <c r="X6" s="8"/>
      <c r="Y6" s="3" t="s">
        <v>42</v>
      </c>
      <c r="Z6" s="1">
        <v>177</v>
      </c>
      <c r="AA6" s="6">
        <f t="shared" si="4"/>
        <v>0.17699999999999999</v>
      </c>
      <c r="AD6" s="3" t="s">
        <v>2</v>
      </c>
      <c r="AE6" s="1">
        <v>20</v>
      </c>
      <c r="AF6" s="1"/>
      <c r="AG6" s="3" t="s">
        <v>42</v>
      </c>
      <c r="AH6" s="1">
        <v>177</v>
      </c>
      <c r="AI6" s="6"/>
      <c r="AJ6" s="6"/>
      <c r="AK6" s="3" t="str">
        <f t="shared" si="0"/>
        <v>Review Pricing</v>
      </c>
      <c r="AL6" s="1">
        <f t="shared" si="5"/>
        <v>177</v>
      </c>
      <c r="AM6" s="6">
        <f t="shared" si="6"/>
        <v>0.17699999999999999</v>
      </c>
      <c r="AN6" s="6"/>
    </row>
    <row r="7" spans="1:45" x14ac:dyDescent="0.35">
      <c r="A7" t="str">
        <f t="shared" si="7"/>
        <v>Romance</v>
      </c>
      <c r="B7">
        <f t="shared" si="8"/>
        <v>41</v>
      </c>
      <c r="E7" s="3" t="s">
        <v>8</v>
      </c>
      <c r="F7" s="1">
        <v>41</v>
      </c>
      <c r="I7" t="str">
        <f t="shared" si="9"/>
        <v>Romance</v>
      </c>
      <c r="J7">
        <f t="shared" si="10"/>
        <v>41</v>
      </c>
      <c r="N7" s="8"/>
      <c r="O7" s="3" t="s">
        <v>9</v>
      </c>
      <c r="P7" s="1">
        <v>33.357804878048782</v>
      </c>
      <c r="Q7" s="1">
        <v>3.18</v>
      </c>
      <c r="R7" s="1">
        <v>59.51</v>
      </c>
      <c r="S7" s="8">
        <f t="shared" si="1"/>
        <v>56.33</v>
      </c>
      <c r="T7" s="8"/>
      <c r="U7" s="8" t="str">
        <f t="shared" si="2"/>
        <v>Poetry</v>
      </c>
      <c r="V7" s="8">
        <f t="shared" si="3"/>
        <v>33.357804878048782</v>
      </c>
      <c r="W7" s="8"/>
      <c r="X7" s="8"/>
      <c r="Y7" s="3" t="s">
        <v>43</v>
      </c>
      <c r="Z7" s="1">
        <v>322</v>
      </c>
      <c r="AA7" s="6">
        <f t="shared" si="4"/>
        <v>0.32200000000000001</v>
      </c>
      <c r="AD7" s="3" t="s">
        <v>8</v>
      </c>
      <c r="AE7" s="1">
        <v>17</v>
      </c>
      <c r="AF7" s="1"/>
      <c r="AG7" s="3" t="s">
        <v>43</v>
      </c>
      <c r="AH7" s="1">
        <v>322</v>
      </c>
      <c r="AI7" s="6"/>
      <c r="AJ7" s="6"/>
      <c r="AK7" s="3" t="str">
        <f t="shared" si="0"/>
        <v>Well Supplied</v>
      </c>
      <c r="AL7" s="1">
        <f t="shared" si="5"/>
        <v>322</v>
      </c>
      <c r="AM7" s="6">
        <f t="shared" si="6"/>
        <v>0.32200000000000001</v>
      </c>
      <c r="AN7" s="6"/>
      <c r="AO7" s="22"/>
      <c r="AP7" s="22"/>
      <c r="AQ7" s="22" t="s">
        <v>732</v>
      </c>
      <c r="AR7" s="22" t="s">
        <v>733</v>
      </c>
    </row>
    <row r="8" spans="1:45" x14ac:dyDescent="0.35">
      <c r="A8" t="str">
        <f t="shared" si="7"/>
        <v>Sports</v>
      </c>
      <c r="B8">
        <f t="shared" si="8"/>
        <v>41</v>
      </c>
      <c r="E8" s="3" t="s">
        <v>18</v>
      </c>
      <c r="F8" s="1">
        <v>41</v>
      </c>
      <c r="I8" t="str">
        <f t="shared" si="9"/>
        <v>Sports</v>
      </c>
      <c r="J8">
        <f t="shared" si="10"/>
        <v>41</v>
      </c>
      <c r="N8" s="8"/>
      <c r="O8" s="3" t="s">
        <v>19</v>
      </c>
      <c r="P8" s="1">
        <v>33.223030303030299</v>
      </c>
      <c r="Q8" s="1">
        <v>1.1599999999999999</v>
      </c>
      <c r="R8" s="1">
        <v>58.77</v>
      </c>
      <c r="S8" s="8">
        <f t="shared" si="1"/>
        <v>57.610000000000007</v>
      </c>
      <c r="T8" s="8"/>
      <c r="U8" s="8" t="str">
        <f t="shared" si="2"/>
        <v>Suspense</v>
      </c>
      <c r="V8" s="8">
        <f t="shared" si="3"/>
        <v>33.223030303030299</v>
      </c>
      <c r="W8" s="8"/>
      <c r="X8" s="8"/>
      <c r="AA8" s="1"/>
      <c r="AD8" s="3" t="s">
        <v>4</v>
      </c>
      <c r="AE8" s="1">
        <v>17</v>
      </c>
      <c r="AF8" s="1"/>
      <c r="AO8" t="s">
        <v>738</v>
      </c>
      <c r="AP8" t="s">
        <v>734</v>
      </c>
      <c r="AQ8" t="s">
        <v>736</v>
      </c>
      <c r="AR8" t="s">
        <v>735</v>
      </c>
    </row>
    <row r="9" spans="1:45" x14ac:dyDescent="0.35">
      <c r="A9" t="str">
        <f t="shared" si="7"/>
        <v>Poetry</v>
      </c>
      <c r="B9">
        <f t="shared" si="8"/>
        <v>41</v>
      </c>
      <c r="E9" s="3" t="s">
        <v>9</v>
      </c>
      <c r="F9" s="1">
        <v>41</v>
      </c>
      <c r="I9" t="str">
        <f t="shared" si="9"/>
        <v>Poetry</v>
      </c>
      <c r="J9">
        <f t="shared" si="10"/>
        <v>41</v>
      </c>
      <c r="N9" s="8"/>
      <c r="O9" s="3" t="s">
        <v>16</v>
      </c>
      <c r="P9" s="1">
        <v>33.099687500000002</v>
      </c>
      <c r="Q9" s="1">
        <v>3.21</v>
      </c>
      <c r="R9" s="1">
        <v>59.49</v>
      </c>
      <c r="S9" s="8">
        <f t="shared" si="1"/>
        <v>56.28</v>
      </c>
      <c r="T9" s="8"/>
      <c r="U9" s="8" t="str">
        <f t="shared" si="2"/>
        <v>Health</v>
      </c>
      <c r="V9" s="8">
        <f t="shared" si="3"/>
        <v>33.099687500000002</v>
      </c>
      <c r="W9" s="8"/>
      <c r="X9" s="8"/>
      <c r="AD9" s="3" t="s">
        <v>13</v>
      </c>
      <c r="AE9" s="1">
        <v>17</v>
      </c>
      <c r="AF9" s="1"/>
      <c r="AO9" s="1">
        <v>30</v>
      </c>
      <c r="AP9" s="1">
        <v>10</v>
      </c>
      <c r="AQ9" s="24" t="s">
        <v>739</v>
      </c>
      <c r="AR9" s="23" t="s">
        <v>737</v>
      </c>
    </row>
    <row r="10" spans="1:45" x14ac:dyDescent="0.35">
      <c r="A10" t="str">
        <f t="shared" si="7"/>
        <v>Mystery</v>
      </c>
      <c r="B10">
        <f t="shared" si="8"/>
        <v>41</v>
      </c>
      <c r="E10" s="3" t="s">
        <v>3</v>
      </c>
      <c r="F10" s="1">
        <v>41</v>
      </c>
      <c r="I10" t="str">
        <f t="shared" si="9"/>
        <v>Mystery</v>
      </c>
      <c r="J10">
        <f t="shared" si="10"/>
        <v>41</v>
      </c>
      <c r="N10" s="8"/>
      <c r="O10" s="3" t="s">
        <v>21</v>
      </c>
      <c r="P10" s="1">
        <v>32.776333333333334</v>
      </c>
      <c r="Q10" s="1">
        <v>3.83</v>
      </c>
      <c r="R10" s="1">
        <v>57.04</v>
      </c>
      <c r="S10" s="8">
        <f t="shared" si="1"/>
        <v>53.21</v>
      </c>
      <c r="T10" s="8"/>
      <c r="U10" s="8" t="str">
        <f t="shared" si="2"/>
        <v>Horror</v>
      </c>
      <c r="V10" s="8">
        <f t="shared" si="3"/>
        <v>32.776333333333334</v>
      </c>
      <c r="W10" s="8"/>
      <c r="X10" s="8"/>
      <c r="AD10" s="3" t="s">
        <v>14</v>
      </c>
      <c r="AE10" s="1">
        <v>16</v>
      </c>
      <c r="AF10" s="1"/>
      <c r="AO10" t="str">
        <f>"Across " &amp; AO9&amp; " genres"</f>
        <v>Across 30 genres</v>
      </c>
      <c r="AP10" t="str">
        <f>"median: " &amp; AP9 &amp; " units"</f>
        <v>median: 10 units</v>
      </c>
      <c r="AQ10" t="str">
        <f>"range" &amp; AQ9</f>
        <v>range£1 - £60</v>
      </c>
    </row>
    <row r="11" spans="1:45" x14ac:dyDescent="0.35">
      <c r="A11" t="str">
        <f t="shared" si="7"/>
        <v>Philosophy</v>
      </c>
      <c r="B11">
        <f t="shared" si="8"/>
        <v>40</v>
      </c>
      <c r="E11" s="3" t="s">
        <v>13</v>
      </c>
      <c r="F11" s="1">
        <v>40</v>
      </c>
      <c r="I11" t="str">
        <f t="shared" si="9"/>
        <v>Philosophy</v>
      </c>
      <c r="J11">
        <f t="shared" si="10"/>
        <v>40</v>
      </c>
      <c r="N11" s="8"/>
      <c r="O11" s="3" t="s">
        <v>1</v>
      </c>
      <c r="P11" s="1">
        <v>31.83</v>
      </c>
      <c r="Q11" s="1">
        <v>4.63</v>
      </c>
      <c r="R11" s="1">
        <v>57.93</v>
      </c>
      <c r="S11" s="8">
        <f t="shared" si="1"/>
        <v>53.3</v>
      </c>
      <c r="T11" s="8"/>
      <c r="U11" s="8" t="str">
        <f t="shared" si="2"/>
        <v>Travel</v>
      </c>
      <c r="V11" s="8">
        <f t="shared" si="3"/>
        <v>31.83</v>
      </c>
      <c r="W11" s="8"/>
      <c r="X11" s="8"/>
      <c r="AD11" s="3" t="s">
        <v>24</v>
      </c>
      <c r="AE11" s="1">
        <v>13</v>
      </c>
      <c r="AF11" s="1"/>
    </row>
    <row r="12" spans="1:45" x14ac:dyDescent="0.35">
      <c r="A12" s="28" t="s">
        <v>741</v>
      </c>
      <c r="B12">
        <f>SUM(F12:F34)</f>
        <v>710</v>
      </c>
      <c r="E12" s="3" t="s">
        <v>14</v>
      </c>
      <c r="F12" s="1">
        <v>39</v>
      </c>
      <c r="I12" t="str">
        <f t="shared" si="9"/>
        <v>Psychology</v>
      </c>
      <c r="J12">
        <f t="shared" si="10"/>
        <v>39</v>
      </c>
      <c r="N12" s="8"/>
      <c r="O12" s="3" t="s">
        <v>8</v>
      </c>
      <c r="P12" s="1">
        <v>31.701219512195124</v>
      </c>
      <c r="Q12" s="1">
        <v>1.83</v>
      </c>
      <c r="R12" s="1">
        <v>56.99</v>
      </c>
      <c r="S12" s="8">
        <f t="shared" si="1"/>
        <v>55.160000000000004</v>
      </c>
      <c r="T12" s="8"/>
      <c r="U12" s="8" t="str">
        <f t="shared" si="2"/>
        <v>Romance</v>
      </c>
      <c r="V12" s="8">
        <f t="shared" si="3"/>
        <v>31.701219512195124</v>
      </c>
      <c r="W12" s="8"/>
      <c r="X12" s="8"/>
      <c r="AD12" s="3" t="s">
        <v>19</v>
      </c>
      <c r="AE12" s="1">
        <v>13</v>
      </c>
      <c r="AF12" s="1"/>
    </row>
    <row r="13" spans="1:45" x14ac:dyDescent="0.35">
      <c r="E13" s="3" t="s">
        <v>4</v>
      </c>
      <c r="F13" s="1">
        <v>38</v>
      </c>
      <c r="I13" t="str">
        <f t="shared" si="9"/>
        <v>Classics</v>
      </c>
      <c r="J13">
        <f t="shared" si="10"/>
        <v>38</v>
      </c>
      <c r="N13" s="8"/>
      <c r="O13" s="3" t="s">
        <v>12</v>
      </c>
      <c r="P13" s="1">
        <v>31.175172413793106</v>
      </c>
      <c r="Q13" s="1">
        <v>3.89</v>
      </c>
      <c r="R13" s="1">
        <v>57.35</v>
      </c>
      <c r="S13" s="8">
        <f t="shared" si="1"/>
        <v>53.46</v>
      </c>
      <c r="T13" s="8"/>
      <c r="U13" s="8" t="str">
        <f t="shared" si="2"/>
        <v>Self Help</v>
      </c>
      <c r="V13" s="8">
        <f t="shared" si="3"/>
        <v>31.175172413793106</v>
      </c>
      <c r="W13" s="8"/>
      <c r="X13" s="8"/>
      <c r="AD13" s="3" t="s">
        <v>16</v>
      </c>
      <c r="AE13" s="1">
        <v>13</v>
      </c>
      <c r="AF13" s="1"/>
    </row>
    <row r="14" spans="1:45" x14ac:dyDescent="0.35">
      <c r="A14" s="34" t="s">
        <v>743</v>
      </c>
      <c r="B14" s="34"/>
      <c r="E14" s="3" t="s">
        <v>28</v>
      </c>
      <c r="F14" s="1">
        <v>36</v>
      </c>
      <c r="N14" s="8"/>
      <c r="O14" s="3" t="s">
        <v>18</v>
      </c>
      <c r="P14" s="1">
        <v>31.151707317073171</v>
      </c>
      <c r="Q14" s="1">
        <v>1.05</v>
      </c>
      <c r="R14" s="1">
        <v>57.67</v>
      </c>
      <c r="S14" s="8">
        <f t="shared" si="1"/>
        <v>56.620000000000005</v>
      </c>
      <c r="T14" s="8"/>
      <c r="U14" s="8" t="str">
        <f t="shared" si="2"/>
        <v>Sports</v>
      </c>
      <c r="V14" s="8">
        <f t="shared" si="3"/>
        <v>31.151707317073171</v>
      </c>
      <c r="W14" s="8"/>
      <c r="X14" s="8"/>
      <c r="AD14" s="3" t="s">
        <v>10</v>
      </c>
      <c r="AE14" s="1">
        <v>12</v>
      </c>
      <c r="AF14" s="1"/>
      <c r="AJ14" s="12" t="str">
        <f>O3</f>
        <v>Genre</v>
      </c>
      <c r="AK14" s="12" t="str">
        <f>P3</f>
        <v>Average Price (£)</v>
      </c>
      <c r="AL14" s="12" t="str">
        <f>Q3</f>
        <v>Min Price (£)</v>
      </c>
      <c r="AM14" s="12" t="str">
        <f>R3</f>
        <v>Max Price (£)</v>
      </c>
    </row>
    <row r="15" spans="1:45" x14ac:dyDescent="0.35">
      <c r="A15" s="29" t="s">
        <v>744</v>
      </c>
      <c r="B15" s="29" t="s">
        <v>745</v>
      </c>
      <c r="C15" s="29" t="s">
        <v>32</v>
      </c>
      <c r="E15" s="3" t="s">
        <v>11</v>
      </c>
      <c r="F15" s="1">
        <v>36</v>
      </c>
      <c r="I15" s="31" t="s">
        <v>33</v>
      </c>
      <c r="J15" s="31"/>
      <c r="K15" s="5" t="s">
        <v>32</v>
      </c>
      <c r="N15" s="8"/>
      <c r="O15" s="3" t="s">
        <v>2</v>
      </c>
      <c r="P15" s="1">
        <v>30.645227272727276</v>
      </c>
      <c r="Q15" s="1">
        <v>1.1299999999999999</v>
      </c>
      <c r="R15" s="1">
        <v>59.2</v>
      </c>
      <c r="S15" s="8">
        <f t="shared" si="1"/>
        <v>58.07</v>
      </c>
      <c r="T15" s="8"/>
      <c r="U15" s="8" t="str">
        <f t="shared" si="2"/>
        <v>Womens Fiction</v>
      </c>
      <c r="V15" s="8">
        <f t="shared" si="3"/>
        <v>30.645227272727276</v>
      </c>
      <c r="W15" s="8"/>
      <c r="X15" s="8"/>
      <c r="AD15" s="3" t="s">
        <v>9</v>
      </c>
      <c r="AE15" s="1">
        <v>12</v>
      </c>
      <c r="AF15" s="1"/>
      <c r="AJ15" s="8" t="str">
        <f t="shared" ref="AJ15:AM15" si="11">O4</f>
        <v>Academic</v>
      </c>
      <c r="AK15" s="8">
        <f t="shared" si="11"/>
        <v>41.508333333333333</v>
      </c>
      <c r="AL15" s="8">
        <f t="shared" si="11"/>
        <v>11.28</v>
      </c>
      <c r="AM15" s="8">
        <f t="shared" si="11"/>
        <v>59.33</v>
      </c>
    </row>
    <row r="16" spans="1:45" x14ac:dyDescent="0.35">
      <c r="A16" t="s">
        <v>742</v>
      </c>
      <c r="B16">
        <f>SUM(B5:B11)</f>
        <v>290</v>
      </c>
      <c r="C16" s="30">
        <f>B16/SUM($B$16:$B$17)</f>
        <v>0.28999999999999998</v>
      </c>
      <c r="E16" s="3" t="s">
        <v>20</v>
      </c>
      <c r="F16" s="1">
        <v>36</v>
      </c>
      <c r="I16" t="s">
        <v>34</v>
      </c>
      <c r="J16">
        <f>SUM(J5:J13)</f>
        <v>367</v>
      </c>
      <c r="K16" s="6">
        <f>J16/SUM(J16:J18)</f>
        <v>0.36699999999999999</v>
      </c>
      <c r="N16" s="8"/>
      <c r="O16" s="3" t="s">
        <v>23</v>
      </c>
      <c r="P16" s="1">
        <v>30.21970588235294</v>
      </c>
      <c r="Q16" s="1">
        <v>1.36</v>
      </c>
      <c r="R16" s="1">
        <v>58.27</v>
      </c>
      <c r="S16" s="8">
        <f t="shared" si="1"/>
        <v>56.910000000000004</v>
      </c>
      <c r="T16" s="8"/>
      <c r="U16" s="8" t="str">
        <f t="shared" si="2"/>
        <v>Historical Fiction</v>
      </c>
      <c r="V16" s="8">
        <f t="shared" si="3"/>
        <v>30.21970588235294</v>
      </c>
      <c r="W16" s="8"/>
      <c r="X16" s="8"/>
      <c r="AD16" s="3" t="s">
        <v>25</v>
      </c>
      <c r="AE16" s="1">
        <v>12</v>
      </c>
      <c r="AF16" s="1"/>
      <c r="AJ16" s="8" t="str">
        <f t="shared" ref="AJ16:AM16" si="12">O5</f>
        <v>Thriller</v>
      </c>
      <c r="AK16" s="8">
        <f t="shared" si="12"/>
        <v>36.147037037037038</v>
      </c>
      <c r="AL16" s="8">
        <f t="shared" si="12"/>
        <v>10.57</v>
      </c>
      <c r="AM16" s="8">
        <f t="shared" si="12"/>
        <v>58.36</v>
      </c>
    </row>
    <row r="17" spans="1:39" x14ac:dyDescent="0.35">
      <c r="A17" t="s">
        <v>746</v>
      </c>
      <c r="B17">
        <f>B12</f>
        <v>710</v>
      </c>
      <c r="C17" s="30">
        <f>B17/SUM($B$16:$B$17)</f>
        <v>0.71</v>
      </c>
      <c r="E17" s="3" t="s">
        <v>6</v>
      </c>
      <c r="F17" s="1">
        <v>35</v>
      </c>
      <c r="I17" t="s">
        <v>35</v>
      </c>
      <c r="J17">
        <f>SUM(F14:F25)</f>
        <v>398</v>
      </c>
      <c r="K17" s="6">
        <f>J17/SUM(J16:J18)</f>
        <v>0.39800000000000002</v>
      </c>
      <c r="N17" s="8"/>
      <c r="O17" s="3" t="s">
        <v>24</v>
      </c>
      <c r="P17" s="1">
        <v>30.150571428571428</v>
      </c>
      <c r="Q17" s="1">
        <v>1.2</v>
      </c>
      <c r="R17" s="1">
        <v>58.62</v>
      </c>
      <c r="S17" s="8">
        <f t="shared" si="1"/>
        <v>57.419999999999995</v>
      </c>
      <c r="T17" s="8"/>
      <c r="U17" s="8" t="str">
        <f t="shared" si="2"/>
        <v>Parody</v>
      </c>
      <c r="V17" s="8">
        <f t="shared" si="3"/>
        <v>30.150571428571428</v>
      </c>
      <c r="W17" s="8"/>
      <c r="X17" s="8"/>
      <c r="AD17" s="3" t="s">
        <v>6</v>
      </c>
      <c r="AE17" s="1">
        <v>11</v>
      </c>
      <c r="AF17" s="1"/>
      <c r="AJ17" s="8" t="str">
        <f t="shared" ref="AJ17:AM17" si="13">O6</f>
        <v>Classics</v>
      </c>
      <c r="AK17" s="8">
        <f t="shared" si="13"/>
        <v>33.68105263157895</v>
      </c>
      <c r="AL17" s="8">
        <f t="shared" si="13"/>
        <v>4.87</v>
      </c>
      <c r="AM17" s="8">
        <f t="shared" si="13"/>
        <v>57.26</v>
      </c>
    </row>
    <row r="18" spans="1:39" x14ac:dyDescent="0.35">
      <c r="E18" s="3" t="s">
        <v>24</v>
      </c>
      <c r="F18" s="1">
        <v>35</v>
      </c>
      <c r="I18" t="s">
        <v>36</v>
      </c>
      <c r="J18">
        <f>SUM(F26:F34)</f>
        <v>235</v>
      </c>
      <c r="K18" s="6">
        <f>J18/SUM(J16:J18)</f>
        <v>0.23499999999999999</v>
      </c>
      <c r="N18" s="8"/>
      <c r="O18" s="3" t="s">
        <v>14</v>
      </c>
      <c r="P18" s="1">
        <v>30.131794871794874</v>
      </c>
      <c r="Q18" s="1">
        <v>5.45</v>
      </c>
      <c r="R18" s="1">
        <v>59.19</v>
      </c>
      <c r="S18" s="8">
        <f t="shared" si="1"/>
        <v>53.739999999999995</v>
      </c>
      <c r="T18" s="8"/>
      <c r="U18" s="8" t="str">
        <f t="shared" si="2"/>
        <v>Psychology</v>
      </c>
      <c r="V18" s="8">
        <f t="shared" si="3"/>
        <v>30.131794871794874</v>
      </c>
      <c r="W18" s="8"/>
      <c r="X18" s="8"/>
      <c r="AD18" s="3" t="s">
        <v>5</v>
      </c>
      <c r="AE18" s="1">
        <v>11</v>
      </c>
      <c r="AF18" s="1"/>
      <c r="AJ18" s="8" t="str">
        <f t="shared" ref="AJ18:AM18" si="14">O7</f>
        <v>Poetry</v>
      </c>
      <c r="AK18" s="8">
        <f t="shared" si="14"/>
        <v>33.357804878048782</v>
      </c>
      <c r="AL18" s="8">
        <f t="shared" si="14"/>
        <v>3.18</v>
      </c>
      <c r="AM18" s="8">
        <f t="shared" si="14"/>
        <v>59.51</v>
      </c>
    </row>
    <row r="19" spans="1:39" x14ac:dyDescent="0.35">
      <c r="E19" s="3" t="s">
        <v>23</v>
      </c>
      <c r="F19" s="1">
        <v>34</v>
      </c>
      <c r="N19" s="8"/>
      <c r="O19" s="3" t="s">
        <v>11</v>
      </c>
      <c r="P19" s="1">
        <v>29.997777777777781</v>
      </c>
      <c r="Q19" s="1">
        <v>2.74</v>
      </c>
      <c r="R19" s="1">
        <v>59.96</v>
      </c>
      <c r="S19" s="8">
        <f t="shared" si="1"/>
        <v>57.22</v>
      </c>
      <c r="T19" s="8"/>
      <c r="U19" s="8" t="str">
        <f t="shared" si="2"/>
        <v>Sequential Art</v>
      </c>
      <c r="V19" s="8">
        <f t="shared" si="3"/>
        <v>29.997777777777781</v>
      </c>
      <c r="W19" s="8"/>
      <c r="X19" s="8"/>
      <c r="AD19" s="3" t="s">
        <v>28</v>
      </c>
      <c r="AE19" s="1">
        <v>11</v>
      </c>
      <c r="AF19" s="1"/>
      <c r="AJ19" s="8" t="str">
        <f t="shared" ref="AJ19:AM19" si="15">O8</f>
        <v>Suspense</v>
      </c>
      <c r="AK19" s="8">
        <f t="shared" si="15"/>
        <v>33.223030303030299</v>
      </c>
      <c r="AL19" s="8">
        <f t="shared" si="15"/>
        <v>1.1599999999999999</v>
      </c>
      <c r="AM19" s="8">
        <f t="shared" si="15"/>
        <v>58.77</v>
      </c>
    </row>
    <row r="20" spans="1:39" x14ac:dyDescent="0.35">
      <c r="A20" s="30" t="str">
        <f>"Top 7 genres have " &amp; TEXT(C16, "0%") &amp; " of the Books"</f>
        <v>Top 7 genres have 29% of the Books</v>
      </c>
      <c r="E20" s="3" t="s">
        <v>19</v>
      </c>
      <c r="F20" s="1">
        <v>33</v>
      </c>
      <c r="N20" s="8"/>
      <c r="O20" s="3" t="s">
        <v>3</v>
      </c>
      <c r="P20" s="1">
        <v>29.989756097560974</v>
      </c>
      <c r="Q20" s="1">
        <v>3.87</v>
      </c>
      <c r="R20" s="1">
        <v>59.96</v>
      </c>
      <c r="S20" s="8">
        <f t="shared" si="1"/>
        <v>56.09</v>
      </c>
      <c r="T20" s="8"/>
      <c r="U20" s="8"/>
      <c r="V20" s="8"/>
      <c r="W20" s="8"/>
      <c r="X20" s="8"/>
      <c r="AD20" s="3" t="s">
        <v>11</v>
      </c>
      <c r="AE20" s="1">
        <v>11</v>
      </c>
      <c r="AF20" s="1"/>
    </row>
    <row r="21" spans="1:39" x14ac:dyDescent="0.35">
      <c r="E21" s="3" t="s">
        <v>16</v>
      </c>
      <c r="F21" s="1">
        <v>32</v>
      </c>
      <c r="K21" s="7"/>
      <c r="N21" s="8"/>
      <c r="O21" s="3" t="s">
        <v>20</v>
      </c>
      <c r="P21" s="1">
        <v>29.945833333333333</v>
      </c>
      <c r="Q21" s="1">
        <v>1.3</v>
      </c>
      <c r="R21" s="1">
        <v>57.62</v>
      </c>
      <c r="S21" s="8">
        <f t="shared" si="1"/>
        <v>56.32</v>
      </c>
      <c r="T21" s="8"/>
      <c r="U21" s="8"/>
      <c r="V21" s="8"/>
      <c r="W21" s="8"/>
      <c r="X21" s="8"/>
      <c r="Y21" s="8"/>
      <c r="Z21" s="8"/>
      <c r="AA21" s="8"/>
      <c r="AD21" s="3" t="s">
        <v>3</v>
      </c>
      <c r="AE21" s="1">
        <v>11</v>
      </c>
      <c r="AF21" s="1"/>
      <c r="AG21" s="1"/>
      <c r="AH21" s="1"/>
    </row>
    <row r="22" spans="1:39" x14ac:dyDescent="0.35">
      <c r="E22" s="3" t="s">
        <v>26</v>
      </c>
      <c r="F22" s="1">
        <v>31</v>
      </c>
      <c r="N22" s="8"/>
      <c r="O22" s="3" t="s">
        <v>26</v>
      </c>
      <c r="P22" s="1">
        <v>29.789354838709677</v>
      </c>
      <c r="Q22" s="1">
        <v>3.72</v>
      </c>
      <c r="R22" s="1">
        <v>59.46</v>
      </c>
      <c r="S22" s="8">
        <f t="shared" si="1"/>
        <v>55.74</v>
      </c>
      <c r="T22" s="8"/>
      <c r="U22" s="8"/>
      <c r="V22" s="8"/>
      <c r="W22" s="8"/>
      <c r="X22" s="8"/>
      <c r="Y22" s="8"/>
      <c r="Z22" s="8"/>
      <c r="AA22" s="8"/>
      <c r="AD22" s="3" t="s">
        <v>23</v>
      </c>
      <c r="AE22" s="1">
        <v>10</v>
      </c>
      <c r="AF22" s="1"/>
      <c r="AG22" s="1"/>
      <c r="AH22" s="1"/>
    </row>
    <row r="23" spans="1:39" x14ac:dyDescent="0.35">
      <c r="E23" s="3" t="s">
        <v>21</v>
      </c>
      <c r="F23" s="1">
        <v>30</v>
      </c>
      <c r="N23" s="8"/>
      <c r="O23" s="3" t="s">
        <v>7</v>
      </c>
      <c r="P23" s="1">
        <v>29.721999999999998</v>
      </c>
      <c r="Q23" s="1">
        <v>1.92</v>
      </c>
      <c r="R23" s="1">
        <v>56.88</v>
      </c>
      <c r="S23" s="8">
        <f t="shared" si="1"/>
        <v>54.96</v>
      </c>
      <c r="T23" s="8"/>
      <c r="U23" s="8"/>
      <c r="V23" s="8" t="s">
        <v>748</v>
      </c>
      <c r="W23" s="8">
        <f>MAX(S4:S33)</f>
        <v>58.54</v>
      </c>
      <c r="X23" s="8"/>
      <c r="Y23" s="8"/>
      <c r="Z23" s="8"/>
      <c r="AA23" s="8"/>
      <c r="AD23" s="3" t="s">
        <v>17</v>
      </c>
      <c r="AE23" s="1">
        <v>10</v>
      </c>
      <c r="AF23" s="1"/>
      <c r="AG23" s="1"/>
      <c r="AH23" s="1"/>
    </row>
    <row r="24" spans="1:39" x14ac:dyDescent="0.35">
      <c r="E24" s="3" t="s">
        <v>10</v>
      </c>
      <c r="F24" s="1">
        <v>30</v>
      </c>
      <c r="N24" s="8"/>
      <c r="O24" s="3" t="s">
        <v>13</v>
      </c>
      <c r="P24" s="1">
        <v>29.589499999999997</v>
      </c>
      <c r="Q24" s="1">
        <v>1.17</v>
      </c>
      <c r="R24" s="1">
        <v>59.19</v>
      </c>
      <c r="S24" s="8">
        <f t="shared" si="1"/>
        <v>58.019999999999996</v>
      </c>
      <c r="T24" s="8"/>
      <c r="U24" s="8"/>
      <c r="V24" s="8" t="s">
        <v>749</v>
      </c>
      <c r="W24" s="42" t="str">
        <f>INDEX(O4:O33,MATCH(MAX(S4:S33),S4:S33,0))</f>
        <v>Music</v>
      </c>
      <c r="X24" s="8"/>
      <c r="Y24" s="8"/>
      <c r="Z24" s="8"/>
      <c r="AA24" s="8"/>
      <c r="AD24" s="3" t="s">
        <v>12</v>
      </c>
      <c r="AE24" s="1">
        <v>10</v>
      </c>
      <c r="AF24" s="1"/>
      <c r="AG24" s="1"/>
      <c r="AH24" s="1"/>
    </row>
    <row r="25" spans="1:39" x14ac:dyDescent="0.35">
      <c r="E25" s="3" t="s">
        <v>7</v>
      </c>
      <c r="F25" s="1">
        <v>30</v>
      </c>
      <c r="N25" s="8"/>
      <c r="O25" s="3" t="s">
        <v>17</v>
      </c>
      <c r="P25" s="1">
        <v>29.358846153846155</v>
      </c>
      <c r="Q25" s="1">
        <v>1.92</v>
      </c>
      <c r="R25" s="1">
        <v>52.4</v>
      </c>
      <c r="S25" s="8">
        <f t="shared" si="1"/>
        <v>50.48</v>
      </c>
      <c r="T25" s="8"/>
      <c r="U25" s="8"/>
      <c r="V25" s="8" t="str">
        <f>W24 &amp; " Has the widest Price Range of " &amp;W23 &amp;"."</f>
        <v>Music Has the widest Price Range of 58.54.</v>
      </c>
      <c r="W25" s="8"/>
      <c r="X25" s="8"/>
      <c r="Y25" s="8"/>
      <c r="Z25" s="8"/>
      <c r="AA25" s="8"/>
      <c r="AD25" s="3" t="s">
        <v>18</v>
      </c>
      <c r="AE25" s="1">
        <v>9</v>
      </c>
      <c r="AF25" s="1"/>
      <c r="AG25" s="1"/>
      <c r="AH25" s="1"/>
    </row>
    <row r="26" spans="1:39" x14ac:dyDescent="0.35">
      <c r="E26" s="3" t="s">
        <v>12</v>
      </c>
      <c r="F26" s="1">
        <v>29</v>
      </c>
      <c r="N26" s="8"/>
      <c r="O26" s="3" t="s">
        <v>22</v>
      </c>
      <c r="P26" s="1">
        <v>29.015357142857141</v>
      </c>
      <c r="Q26" s="1">
        <v>1.73</v>
      </c>
      <c r="R26" s="1">
        <v>58.93</v>
      </c>
      <c r="S26" s="8">
        <f t="shared" si="1"/>
        <v>57.2</v>
      </c>
      <c r="T26" s="8"/>
      <c r="U26" s="8"/>
      <c r="W26" s="8"/>
      <c r="X26" s="8"/>
      <c r="Y26" s="8"/>
      <c r="Z26" s="8"/>
      <c r="AA26" s="8"/>
      <c r="AD26" s="3" t="s">
        <v>26</v>
      </c>
      <c r="AE26" s="1">
        <v>9</v>
      </c>
      <c r="AF26" s="1"/>
      <c r="AG26" s="1"/>
      <c r="AH26" s="1"/>
    </row>
    <row r="27" spans="1:39" x14ac:dyDescent="0.35">
      <c r="E27" s="3" t="s">
        <v>22</v>
      </c>
      <c r="F27" s="1">
        <v>28</v>
      </c>
      <c r="N27" s="8"/>
      <c r="O27" s="3" t="s">
        <v>27</v>
      </c>
      <c r="P27" s="1">
        <v>28.634999999999998</v>
      </c>
      <c r="Q27" s="1">
        <v>1.39</v>
      </c>
      <c r="R27" s="1">
        <v>58.24</v>
      </c>
      <c r="S27" s="8">
        <f t="shared" si="1"/>
        <v>56.85</v>
      </c>
      <c r="T27" s="8"/>
      <c r="U27" s="8"/>
      <c r="W27" s="8"/>
      <c r="X27" s="8"/>
      <c r="Y27" s="8"/>
      <c r="Z27" s="8"/>
      <c r="AA27" s="8"/>
      <c r="AD27" s="3" t="s">
        <v>27</v>
      </c>
      <c r="AE27" s="1">
        <v>9</v>
      </c>
      <c r="AF27" s="1"/>
      <c r="AG27" s="1"/>
      <c r="AH27" s="1"/>
    </row>
    <row r="28" spans="1:39" x14ac:dyDescent="0.35">
      <c r="E28" s="3" t="s">
        <v>27</v>
      </c>
      <c r="F28" s="1">
        <v>28</v>
      </c>
      <c r="N28" s="8"/>
      <c r="O28" s="3" t="s">
        <v>30</v>
      </c>
      <c r="P28" s="1">
        <v>28.51</v>
      </c>
      <c r="Q28" s="1">
        <v>1.64</v>
      </c>
      <c r="R28" s="1">
        <v>59.26</v>
      </c>
      <c r="S28" s="8">
        <f t="shared" si="1"/>
        <v>57.62</v>
      </c>
      <c r="T28" s="8"/>
      <c r="U28" s="8"/>
      <c r="V28" s="8" t="s">
        <v>750</v>
      </c>
      <c r="W28" s="8">
        <f>MIN(S4:S33)</f>
        <v>46.66</v>
      </c>
      <c r="X28" s="8"/>
      <c r="Y28" s="8"/>
      <c r="Z28" s="8"/>
      <c r="AA28" s="8"/>
      <c r="AD28" s="3" t="s">
        <v>20</v>
      </c>
      <c r="AE28" s="1">
        <v>9</v>
      </c>
      <c r="AF28" s="1"/>
      <c r="AG28" s="1"/>
      <c r="AH28" s="1"/>
    </row>
    <row r="29" spans="1:39" x14ac:dyDescent="0.35">
      <c r="E29" s="3" t="s">
        <v>5</v>
      </c>
      <c r="F29" s="1">
        <v>27</v>
      </c>
      <c r="N29" s="8"/>
      <c r="O29" s="3" t="s">
        <v>10</v>
      </c>
      <c r="P29" s="1">
        <v>28.453333333333333</v>
      </c>
      <c r="Q29" s="1">
        <v>2.39</v>
      </c>
      <c r="R29" s="1">
        <v>57.23</v>
      </c>
      <c r="S29" s="8">
        <f t="shared" si="1"/>
        <v>54.839999999999996</v>
      </c>
      <c r="T29" s="8"/>
      <c r="U29" s="8"/>
      <c r="V29" s="8" t="s">
        <v>751</v>
      </c>
      <c r="W29" s="8" t="str">
        <f>INDEX(O4:O33,MATCH(MIN(S4:S33),S4:S33,0))</f>
        <v>Young Adult</v>
      </c>
      <c r="X29" s="8"/>
      <c r="Y29" s="8"/>
      <c r="Z29" s="8"/>
      <c r="AA29" s="8"/>
      <c r="AD29" s="3" t="s">
        <v>22</v>
      </c>
      <c r="AE29" s="1">
        <v>9</v>
      </c>
      <c r="AF29" s="1"/>
      <c r="AG29" s="1"/>
      <c r="AH29" s="1"/>
    </row>
    <row r="30" spans="1:39" x14ac:dyDescent="0.35">
      <c r="E30" s="3" t="s">
        <v>15</v>
      </c>
      <c r="F30" s="1">
        <v>26</v>
      </c>
      <c r="N30" s="8"/>
      <c r="O30" s="3" t="s">
        <v>28</v>
      </c>
      <c r="P30" s="1">
        <v>28.420833333333334</v>
      </c>
      <c r="Q30" s="1">
        <v>1.39</v>
      </c>
      <c r="R30" s="1">
        <v>58.32</v>
      </c>
      <c r="S30" s="8">
        <f t="shared" si="1"/>
        <v>56.93</v>
      </c>
      <c r="T30" s="8"/>
      <c r="U30" s="8"/>
      <c r="V30" s="8" t="str">
        <f>W29 &amp; " Has the Narrowest Price Range of " &amp;W28 &amp;"."</f>
        <v>Young Adult Has the Narrowest Price Range of 46.66.</v>
      </c>
      <c r="W30" s="8"/>
      <c r="X30" s="8"/>
      <c r="Y30" s="8"/>
      <c r="Z30" s="8"/>
      <c r="AA30" s="8"/>
      <c r="AD30" s="3" t="s">
        <v>21</v>
      </c>
      <c r="AE30" s="1">
        <v>9</v>
      </c>
      <c r="AF30" s="1"/>
      <c r="AG30" s="1"/>
      <c r="AH30" s="1"/>
    </row>
    <row r="31" spans="1:39" x14ac:dyDescent="0.35">
      <c r="E31" s="3" t="s">
        <v>17</v>
      </c>
      <c r="F31" s="1">
        <v>26</v>
      </c>
      <c r="N31" s="8"/>
      <c r="O31" s="3" t="s">
        <v>25</v>
      </c>
      <c r="P31" s="1">
        <v>26.450238095238099</v>
      </c>
      <c r="Q31" s="1">
        <v>1.45</v>
      </c>
      <c r="R31" s="1">
        <v>59.99</v>
      </c>
      <c r="S31" s="8">
        <f t="shared" si="1"/>
        <v>58.54</v>
      </c>
      <c r="T31" s="8"/>
      <c r="U31" s="8"/>
      <c r="V31" s="8"/>
      <c r="W31" s="8"/>
      <c r="X31" s="8"/>
      <c r="Y31" s="8"/>
      <c r="Z31" s="8"/>
      <c r="AA31" s="8"/>
      <c r="AD31" s="3" t="s">
        <v>7</v>
      </c>
      <c r="AE31" s="1">
        <v>8</v>
      </c>
      <c r="AF31" s="1"/>
      <c r="AG31" s="1"/>
      <c r="AH31" s="1"/>
    </row>
    <row r="32" spans="1:39" x14ac:dyDescent="0.35">
      <c r="E32" s="3" t="s">
        <v>30</v>
      </c>
      <c r="F32" s="1">
        <v>25</v>
      </c>
      <c r="N32" s="8"/>
      <c r="O32" s="3" t="s">
        <v>15</v>
      </c>
      <c r="P32" s="1">
        <v>24.660384615384615</v>
      </c>
      <c r="Q32" s="1">
        <v>5.38</v>
      </c>
      <c r="R32" s="1">
        <v>52.04</v>
      </c>
      <c r="S32" s="8">
        <f t="shared" si="1"/>
        <v>46.66</v>
      </c>
      <c r="T32" s="8"/>
      <c r="U32" s="8"/>
      <c r="W32" s="8"/>
      <c r="X32" s="8"/>
      <c r="Y32" s="8"/>
      <c r="Z32" s="8"/>
      <c r="AA32" s="8"/>
      <c r="AD32" s="3" t="s">
        <v>29</v>
      </c>
      <c r="AE32" s="1">
        <v>8</v>
      </c>
      <c r="AF32" s="1"/>
      <c r="AG32" s="1"/>
      <c r="AH32" s="1"/>
    </row>
    <row r="33" spans="5:34" x14ac:dyDescent="0.35">
      <c r="E33" s="3" t="s">
        <v>29</v>
      </c>
      <c r="F33" s="1">
        <v>24</v>
      </c>
      <c r="N33" s="8"/>
      <c r="O33" s="3" t="s">
        <v>6</v>
      </c>
      <c r="P33" s="1">
        <v>24.169142857142855</v>
      </c>
      <c r="Q33" s="1">
        <v>1.73</v>
      </c>
      <c r="R33" s="1">
        <v>53.29</v>
      </c>
      <c r="S33" s="8">
        <f t="shared" si="1"/>
        <v>51.56</v>
      </c>
      <c r="T33" s="8"/>
      <c r="U33" s="8"/>
      <c r="V33" s="8"/>
      <c r="W33" s="8"/>
      <c r="X33" s="8"/>
      <c r="Y33" s="8"/>
      <c r="Z33" s="8"/>
      <c r="AA33" s="8"/>
      <c r="AD33" s="3" t="s">
        <v>15</v>
      </c>
      <c r="AE33" s="1">
        <v>7</v>
      </c>
      <c r="AF33" s="1"/>
      <c r="AG33" s="1"/>
      <c r="AH33" s="1"/>
    </row>
    <row r="34" spans="5:34" x14ac:dyDescent="0.35">
      <c r="E34" s="3" t="s">
        <v>1</v>
      </c>
      <c r="F34" s="1">
        <v>22</v>
      </c>
      <c r="AD34" s="3" t="s">
        <v>30</v>
      </c>
      <c r="AE34" s="1">
        <v>7</v>
      </c>
      <c r="AF34" s="1"/>
      <c r="AG34" s="1"/>
      <c r="AH34" s="1"/>
    </row>
    <row r="35" spans="5:34" x14ac:dyDescent="0.35">
      <c r="AD35" s="3" t="s">
        <v>1</v>
      </c>
      <c r="AE35" s="1">
        <v>6</v>
      </c>
      <c r="AF35" s="1"/>
      <c r="AG35" s="1"/>
      <c r="AH35" s="1"/>
    </row>
  </sheetData>
  <mergeCells count="7">
    <mergeCell ref="I15:J15"/>
    <mergeCell ref="D1:I1"/>
    <mergeCell ref="AO1:AR1"/>
    <mergeCell ref="O1:R1"/>
    <mergeCell ref="A3:C3"/>
    <mergeCell ref="A14:B14"/>
    <mergeCell ref="Y2:AA2"/>
  </mergeCells>
  <conditionalFormatting pivot="1" sqref="AS5">
    <cfRule type="iconSet" priority="1">
      <iconSet showValue="0">
        <cfvo type="num" val="-1"/>
        <cfvo type="num" val="-0.5"/>
        <cfvo type="num" val="0.5"/>
      </iconSet>
    </cfRule>
  </conditionalFormatting>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B6387-8F25-424F-B0D7-2DFE03D61873}">
  <sheetPr codeName="Sheet3"/>
  <dimension ref="A2:F12"/>
  <sheetViews>
    <sheetView showGridLines="0" topLeftCell="A8" zoomScale="140" zoomScaleNormal="140" workbookViewId="0">
      <selection activeCell="C11" sqref="C11:E11"/>
    </sheetView>
  </sheetViews>
  <sheetFormatPr defaultRowHeight="14.5" x14ac:dyDescent="0.35"/>
  <cols>
    <col min="1" max="1" width="2.36328125" customWidth="1"/>
    <col min="2" max="2" width="16.26953125" customWidth="1"/>
    <col min="3" max="3" width="25.7265625" customWidth="1"/>
    <col min="4" max="4" width="25" customWidth="1"/>
    <col min="5" max="5" width="21.6328125" customWidth="1"/>
    <col min="6" max="6" width="3.6328125" customWidth="1"/>
  </cols>
  <sheetData>
    <row r="2" spans="1:6" ht="35" customHeight="1" x14ac:dyDescent="0.35">
      <c r="A2" s="14"/>
      <c r="B2" s="38" t="s">
        <v>716</v>
      </c>
      <c r="C2" s="38"/>
      <c r="D2" s="38"/>
      <c r="E2" s="38"/>
      <c r="F2" s="20"/>
    </row>
    <row r="3" spans="1:6" ht="20" customHeight="1" x14ac:dyDescent="0.35">
      <c r="A3" s="15"/>
      <c r="B3" s="39" t="s">
        <v>37</v>
      </c>
      <c r="C3" s="39"/>
      <c r="D3" s="39"/>
      <c r="E3" s="39"/>
      <c r="F3" s="10"/>
    </row>
    <row r="4" spans="1:6" ht="8" customHeight="1" x14ac:dyDescent="0.35">
      <c r="A4" s="9"/>
      <c r="B4" s="9"/>
      <c r="C4" s="9"/>
      <c r="D4" s="9"/>
      <c r="E4" s="9"/>
      <c r="F4" s="9"/>
    </row>
    <row r="5" spans="1:6" ht="18" customHeight="1" x14ac:dyDescent="0.35">
      <c r="A5" s="16"/>
      <c r="B5" s="40" t="s">
        <v>39</v>
      </c>
      <c r="C5" s="40"/>
      <c r="D5" s="40"/>
      <c r="E5" s="40"/>
      <c r="F5" s="20"/>
    </row>
    <row r="6" spans="1:6" ht="34" customHeight="1" x14ac:dyDescent="0.35">
      <c r="A6" s="11"/>
      <c r="B6" s="37" t="s">
        <v>717</v>
      </c>
      <c r="C6" s="37"/>
      <c r="D6" s="37"/>
      <c r="E6" s="37"/>
      <c r="F6" s="11"/>
    </row>
    <row r="7" spans="1:6" ht="8" customHeight="1" x14ac:dyDescent="0.35"/>
    <row r="8" spans="1:6" x14ac:dyDescent="0.35">
      <c r="A8" s="16"/>
      <c r="B8" s="41" t="s">
        <v>38</v>
      </c>
      <c r="C8" s="41"/>
      <c r="D8" s="41"/>
      <c r="E8" s="41"/>
      <c r="F8" s="20"/>
    </row>
    <row r="9" spans="1:6" ht="55.5" customHeight="1" x14ac:dyDescent="0.35">
      <c r="A9" s="20"/>
      <c r="B9" s="17" t="s">
        <v>712</v>
      </c>
      <c r="C9" s="35" t="s">
        <v>713</v>
      </c>
      <c r="D9" s="35"/>
      <c r="E9" s="35"/>
      <c r="F9" s="11"/>
    </row>
    <row r="10" spans="1:6" ht="63.5" customHeight="1" x14ac:dyDescent="0.35">
      <c r="A10" s="11"/>
      <c r="B10" s="18" t="s">
        <v>709</v>
      </c>
      <c r="C10" s="35" t="s">
        <v>714</v>
      </c>
      <c r="D10" s="35"/>
      <c r="E10" s="35"/>
      <c r="F10" s="11"/>
    </row>
    <row r="11" spans="1:6" ht="110" customHeight="1" x14ac:dyDescent="0.35">
      <c r="A11" s="20"/>
      <c r="B11" s="19" t="s">
        <v>708</v>
      </c>
      <c r="C11" s="36" t="s">
        <v>715</v>
      </c>
      <c r="D11" s="36"/>
      <c r="E11" s="36"/>
      <c r="F11" s="11"/>
    </row>
    <row r="12" spans="1:6" ht="58.5" customHeight="1" x14ac:dyDescent="0.35">
      <c r="A12" s="11"/>
      <c r="B12" s="17" t="s">
        <v>707</v>
      </c>
      <c r="C12" s="37" t="s">
        <v>711</v>
      </c>
      <c r="D12" s="37"/>
      <c r="E12" s="37"/>
      <c r="F12" s="11"/>
    </row>
  </sheetData>
  <mergeCells count="9">
    <mergeCell ref="C9:E9"/>
    <mergeCell ref="C11:E11"/>
    <mergeCell ref="C12:E12"/>
    <mergeCell ref="C10:E10"/>
    <mergeCell ref="B2:E2"/>
    <mergeCell ref="B3:E3"/>
    <mergeCell ref="B5:E5"/>
    <mergeCell ref="B6:E6"/>
    <mergeCell ref="B8:E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E74E9-3288-432D-A7E4-43933E1223F2}">
  <sheetPr codeName="Sheet4"/>
  <dimension ref="A3:A27"/>
  <sheetViews>
    <sheetView showGridLines="0" tabSelected="1" zoomScaleNormal="100" workbookViewId="0">
      <selection activeCell="A27" sqref="A1:R27"/>
    </sheetView>
  </sheetViews>
  <sheetFormatPr defaultRowHeight="20" customHeight="1" x14ac:dyDescent="0.35"/>
  <cols>
    <col min="1" max="17" width="8.7265625" style="21"/>
    <col min="18" max="18" width="1.26953125" style="21" customWidth="1"/>
    <col min="19" max="16384" width="8.7265625" style="21"/>
  </cols>
  <sheetData>
    <row r="3" ht="25.5" customHeight="1" x14ac:dyDescent="0.35"/>
    <row r="4" ht="12" customHeight="1" x14ac:dyDescent="0.35"/>
    <row r="27" ht="7.5" customHeight="1" x14ac:dyDescent="0.3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1E08259A-BC0A-4FCA-8881-13F93D561474}">
  <ds:schemaRefs/>
</ds:datastoreItem>
</file>

<file path=customXml/itemProps2.xml><?xml version="1.0" encoding="utf-8"?>
<ds:datastoreItem xmlns:ds="http://schemas.openxmlformats.org/officeDocument/2006/customXml" ds:itemID="{A550701C-ADFB-451B-92B0-B819A6FFD4D0}">
  <ds:schemaRefs/>
</ds:datastoreItem>
</file>

<file path=customXml/itemProps3.xml><?xml version="1.0" encoding="utf-8"?>
<ds:datastoreItem xmlns:ds="http://schemas.openxmlformats.org/officeDocument/2006/customXml" ds:itemID="{32A8EC09-E3A9-4A08-8B21-1A17D5AF9DF1}">
  <ds:schemaRefs/>
</ds:datastoreItem>
</file>

<file path=customXml/itemProps4.xml><?xml version="1.0" encoding="utf-8"?>
<ds:datastoreItem xmlns:ds="http://schemas.openxmlformats.org/officeDocument/2006/customXml" ds:itemID="{80FAC2E0-59AE-4CC9-986B-40C1C92B0A34}">
  <ds:schemaRefs/>
</ds:datastoreItem>
</file>

<file path=customXml/itemProps5.xml><?xml version="1.0" encoding="utf-8"?>
<ds:datastoreItem xmlns:ds="http://schemas.openxmlformats.org/officeDocument/2006/customXml" ds:itemID="{A519A1CE-36C8-410A-BCDE-40F43D4DF69B}">
  <ds:schemaRefs/>
</ds:datastoreItem>
</file>

<file path=customXml/itemProps6.xml><?xml version="1.0" encoding="utf-8"?>
<ds:datastoreItem xmlns:ds="http://schemas.openxmlformats.org/officeDocument/2006/customXml" ds:itemID="{AA411F7E-194D-4CF3-B80A-908A24F4AF7F}">
  <ds:schemaRefs/>
</ds:datastoreItem>
</file>

<file path=customXml/itemProps7.xml><?xml version="1.0" encoding="utf-8"?>
<ds:datastoreItem xmlns:ds="http://schemas.openxmlformats.org/officeDocument/2006/customXml" ds:itemID="{B8848EB6-6165-44CC-BD7A-7770F6652094}">
  <ds:schemaRefs/>
</ds:datastoreItem>
</file>

<file path=customXml/itemProps8.xml><?xml version="1.0" encoding="utf-8"?>
<ds:datastoreItem xmlns:ds="http://schemas.openxmlformats.org/officeDocument/2006/customXml" ds:itemID="{02AF1124-72C3-404F-AFFA-D4F08C9E1844}">
  <ds:schemaRefs/>
</ds:datastoreItem>
</file>

<file path=customXml/itemProps9.xml><?xml version="1.0" encoding="utf-8"?>
<ds:datastoreItem xmlns:ds="http://schemas.openxmlformats.org/officeDocument/2006/customXml" ds:itemID="{3BDAD10C-B06B-486C-A6CD-18AE6F372B22}">
  <ds:schemaRefs/>
</ds:datastoreItem>
</file>

<file path=customXml/itemProps10.xml><?xml version="1.0" encoding="utf-8"?>
<ds:datastoreItem xmlns:ds="http://schemas.openxmlformats.org/officeDocument/2006/customXml" ds:itemID="{B1B3D680-E4DA-4EA8-ACE8-40A4C3CF97B5}">
  <ds:schemaRefs/>
</ds:datastoreItem>
</file>

<file path=customXml/itemProps11.xml><?xml version="1.0" encoding="utf-8"?>
<ds:datastoreItem xmlns:ds="http://schemas.openxmlformats.org/officeDocument/2006/customXml" ds:itemID="{05EDD691-0A0B-48C8-8D7D-80B15D4B59D1}">
  <ds:schemaRefs/>
</ds:datastoreItem>
</file>

<file path=customXml/itemProps12.xml><?xml version="1.0" encoding="utf-8"?>
<ds:datastoreItem xmlns:ds="http://schemas.openxmlformats.org/officeDocument/2006/customXml" ds:itemID="{7C04DA9B-7226-4AAC-8CEE-A58EB24F25E8}">
  <ds:schemaRefs/>
</ds:datastoreItem>
</file>

<file path=customXml/itemProps13.xml><?xml version="1.0" encoding="utf-8"?>
<ds:datastoreItem xmlns:ds="http://schemas.openxmlformats.org/officeDocument/2006/customXml" ds:itemID="{17576000-953C-41C3-BB03-8102D3B05CA8}">
  <ds:schemaRefs>
    <ds:schemaRef ds:uri="http://schemas.microsoft.com/DataMashup"/>
  </ds:schemaRefs>
</ds:datastoreItem>
</file>

<file path=customXml/itemProps14.xml><?xml version="1.0" encoding="utf-8"?>
<ds:datastoreItem xmlns:ds="http://schemas.openxmlformats.org/officeDocument/2006/customXml" ds:itemID="{65EB5086-5269-47B0-859B-BDE1DE9E8979}">
  <ds:schemaRefs/>
</ds:datastoreItem>
</file>

<file path=customXml/itemProps15.xml><?xml version="1.0" encoding="utf-8"?>
<ds:datastoreItem xmlns:ds="http://schemas.openxmlformats.org/officeDocument/2006/customXml" ds:itemID="{19DA4246-B75F-44CB-8445-4F5D65628C8D}">
  <ds:schemaRefs/>
</ds:datastoreItem>
</file>

<file path=customXml/itemProps16.xml><?xml version="1.0" encoding="utf-8"?>
<ds:datastoreItem xmlns:ds="http://schemas.openxmlformats.org/officeDocument/2006/customXml" ds:itemID="{D5E9AB1A-B1A1-4F30-AADD-DF12F5D468AD}">
  <ds:schemaRefs/>
</ds:datastoreItem>
</file>

<file path=customXml/itemProps17.xml><?xml version="1.0" encoding="utf-8"?>
<ds:datastoreItem xmlns:ds="http://schemas.openxmlformats.org/officeDocument/2006/customXml" ds:itemID="{915D8CB4-13EB-492E-9511-ABC02BC4DE03}">
  <ds:schemaRefs/>
</ds:datastoreItem>
</file>

<file path=customXml/itemProps18.xml><?xml version="1.0" encoding="utf-8"?>
<ds:datastoreItem xmlns:ds="http://schemas.openxmlformats.org/officeDocument/2006/customXml" ds:itemID="{C339BE7D-143F-48EA-99A5-99EAEA4BD9E2}">
  <ds:schemaRefs/>
</ds:datastoreItem>
</file>

<file path=customXml/itemProps19.xml><?xml version="1.0" encoding="utf-8"?>
<ds:datastoreItem xmlns:ds="http://schemas.openxmlformats.org/officeDocument/2006/customXml" ds:itemID="{F0B24EFA-3968-427D-A24B-71F7EFB017ED}">
  <ds:schemaRefs/>
</ds:datastoreItem>
</file>

<file path=customXml/itemProps20.xml><?xml version="1.0" encoding="utf-8"?>
<ds:datastoreItem xmlns:ds="http://schemas.openxmlformats.org/officeDocument/2006/customXml" ds:itemID="{EDA55AED-725C-40EE-B358-1CBD367ED149}">
  <ds:schemaRefs/>
</ds:datastoreItem>
</file>

<file path=customXml/itemProps21.xml><?xml version="1.0" encoding="utf-8"?>
<ds:datastoreItem xmlns:ds="http://schemas.openxmlformats.org/officeDocument/2006/customXml" ds:itemID="{B33DBC43-76F1-4D72-A1BD-618938070911}">
  <ds:schemaRefs/>
</ds:datastoreItem>
</file>

<file path=customXml/itemProps22.xml><?xml version="1.0" encoding="utf-8"?>
<ds:datastoreItem xmlns:ds="http://schemas.openxmlformats.org/officeDocument/2006/customXml" ds:itemID="{8F6E3466-7004-41D5-967E-FCA08072FD2C}">
  <ds:schemaRefs/>
</ds:datastoreItem>
</file>

<file path=customXml/itemProps23.xml><?xml version="1.0" encoding="utf-8"?>
<ds:datastoreItem xmlns:ds="http://schemas.openxmlformats.org/officeDocument/2006/customXml" ds:itemID="{CC0F7DC2-BF04-468D-BA8C-8B760C6256D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vt:lpstr>
      <vt:lpstr>Workbook</vt:lpstr>
      <vt:lpstr>Executive Report- Key Findings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bena</dc:creator>
  <cp:lastModifiedBy>ben bena</cp:lastModifiedBy>
  <cp:lastPrinted>2026-06-27T09:25:18Z</cp:lastPrinted>
  <dcterms:created xsi:type="dcterms:W3CDTF">2026-06-12T13:15:41Z</dcterms:created>
  <dcterms:modified xsi:type="dcterms:W3CDTF">2026-06-27T09:42:38Z</dcterms:modified>
</cp:coreProperties>
</file>